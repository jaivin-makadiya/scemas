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5" sheetId="1" r:id="rId5"/>
  </sheets>
  <definedNames/>
  <calcPr/>
</workbook>
</file>

<file path=xl/sharedStrings.xml><?xml version="1.0" encoding="utf-8"?>
<sst xmlns="http://schemas.openxmlformats.org/spreadsheetml/2006/main" count="1199" uniqueCount="417">
  <si>
    <t>LEVEL 1 — Website Score (Category Roll-Up)</t>
  </si>
  <si>
    <t>Category ID</t>
  </si>
  <si>
    <t>Category</t>
  </si>
  <si>
    <t>Weight</t>
  </si>
  <si>
    <t>Score</t>
  </si>
  <si>
    <t>Status</t>
  </si>
  <si>
    <t>C1</t>
  </si>
  <si>
    <t>Performance</t>
  </si>
  <si>
    <t>Excellent</t>
  </si>
  <si>
    <t>C2</t>
  </si>
  <si>
    <t>Accessibility</t>
  </si>
  <si>
    <t>Good</t>
  </si>
  <si>
    <t>C3</t>
  </si>
  <si>
    <t>Best Practices</t>
  </si>
  <si>
    <t>C4</t>
  </si>
  <si>
    <t>SEO</t>
  </si>
  <si>
    <t>OVR</t>
  </si>
  <si>
    <t>Overall Score</t>
  </si>
  <si>
    <t>LEVEL 2 — Sub-Factor Breakdown</t>
  </si>
  <si>
    <t>Performance — Sub-Factors (Category Score: 100)</t>
  </si>
  <si>
    <t>Accessibility — sub-factor</t>
  </si>
  <si>
    <t>Best Practices — sub-factor</t>
  </si>
  <si>
    <t>SEO —  sub-factor</t>
  </si>
  <si>
    <t>Sub-Factor ID</t>
  </si>
  <si>
    <t>Sub-Factor</t>
  </si>
  <si>
    <t>P1</t>
  </si>
  <si>
    <t>Largest Contentful Paint (LCP) — 2.8 s</t>
  </si>
  <si>
    <t>A1</t>
  </si>
  <si>
    <t>Color Contrast</t>
  </si>
  <si>
    <t>B1</t>
  </si>
  <si>
    <t>HTTPS Security</t>
  </si>
  <si>
    <t>S1</t>
  </si>
  <si>
    <t>Meta Title</t>
  </si>
  <si>
    <t>P2</t>
  </si>
  <si>
    <t>Total Blocking Time (TBT)</t>
  </si>
  <si>
    <t>A2</t>
  </si>
  <si>
    <t>Image Alt Text</t>
  </si>
  <si>
    <t>B2</t>
  </si>
  <si>
    <t>JavaScript Errors</t>
  </si>
  <si>
    <t>S2</t>
  </si>
  <si>
    <t>Meta Description</t>
  </si>
  <si>
    <t>P3</t>
  </si>
  <si>
    <t>Cumulative Layout Shift (CLS) — 0.3</t>
  </si>
  <si>
    <t>A3</t>
  </si>
  <si>
    <t>Form Labels</t>
  </si>
  <si>
    <t>B3</t>
  </si>
  <si>
    <t>Console Errors</t>
  </si>
  <si>
    <t>S3</t>
  </si>
  <si>
    <t>Heading Structure</t>
  </si>
  <si>
    <t>P4</t>
  </si>
  <si>
    <t>First Contentful Paint (FCP) — 1.6 s</t>
  </si>
  <si>
    <t>A4</t>
  </si>
  <si>
    <t>Keyboard Navigation</t>
  </si>
  <si>
    <t>B4</t>
  </si>
  <si>
    <t>Deprecated APIs</t>
  </si>
  <si>
    <t>S4</t>
  </si>
  <si>
    <t>Robots.txt</t>
  </si>
  <si>
    <t>P5</t>
  </si>
  <si>
    <t>Speed Index</t>
  </si>
  <si>
    <t>A5</t>
  </si>
  <si>
    <t>ARIA Attributes</t>
  </si>
  <si>
    <t>B5</t>
  </si>
  <si>
    <t>Third-Party Libraries</t>
  </si>
  <si>
    <t>S5</t>
  </si>
  <si>
    <t>Sitemap.xml</t>
  </si>
  <si>
    <t>A6</t>
  </si>
  <si>
    <t>B6</t>
  </si>
  <si>
    <t>Image Optimization</t>
  </si>
  <si>
    <t>S6</t>
  </si>
  <si>
    <t>Mobile Friendliness</t>
  </si>
  <si>
    <t>LEVEL 3 — Detail Factors</t>
  </si>
  <si>
    <t>Largest Contentful Paint (LCP) Details (P1)</t>
  </si>
  <si>
    <t>Factor ID</t>
  </si>
  <si>
    <t>Factor</t>
  </si>
  <si>
    <t>Value</t>
  </si>
  <si>
    <t>Unit</t>
  </si>
  <si>
    <t>Type</t>
  </si>
  <si>
    <t>Threshold</t>
  </si>
  <si>
    <t>Good Range</t>
  </si>
  <si>
    <t>Flag</t>
  </si>
  <si>
    <t>P1F1</t>
  </si>
  <si>
    <t>Time to First Byte (TTFB)</t>
  </si>
  <si>
    <t>ms</t>
  </si>
  <si>
    <t>Lower</t>
  </si>
  <si>
    <t>&lt; 200 ms</t>
  </si>
  <si>
    <t>⚠ Fix</t>
  </si>
  <si>
    <t>P1F2</t>
  </si>
  <si>
    <t>HTML Download Time</t>
  </si>
  <si>
    <t>&lt; 300 ms</t>
  </si>
  <si>
    <t>OK</t>
  </si>
  <si>
    <t>P1F3</t>
  </si>
  <si>
    <t>CSS Blocking Time</t>
  </si>
  <si>
    <t>P1F4</t>
  </si>
  <si>
    <t>Largest Image Download</t>
  </si>
  <si>
    <t>&lt; 500 ms</t>
  </si>
  <si>
    <t>P1F5</t>
  </si>
  <si>
    <t>Largest Element Render</t>
  </si>
  <si>
    <t>P1F6</t>
  </si>
  <si>
    <t>Font Loading Time</t>
  </si>
  <si>
    <t>&lt; 100 ms</t>
  </si>
  <si>
    <t>Total Blocking Time (TBT) Details (P2)</t>
  </si>
  <si>
    <t>P2F1</t>
  </si>
  <si>
    <t>JavaScript Execution Time</t>
  </si>
  <si>
    <t>P2F2</t>
  </si>
  <si>
    <t>Long Tasks</t>
  </si>
  <si>
    <t>count</t>
  </si>
  <si>
    <t>Zero</t>
  </si>
  <si>
    <t>P2F3</t>
  </si>
  <si>
    <t>Main Thread Blocking</t>
  </si>
  <si>
    <t>P2F4</t>
  </si>
  <si>
    <t>Third-Party Script Time</t>
  </si>
  <si>
    <t>P2F5</t>
  </si>
  <si>
    <t>DOM Processing Time</t>
  </si>
  <si>
    <t>Cumulative Layout Shift (CLS) Details (P3)</t>
  </si>
  <si>
    <t>P3F1</t>
  </si>
  <si>
    <t>Images Without Dimensions</t>
  </si>
  <si>
    <t>P3F2</t>
  </si>
  <si>
    <t>Ads Causing Shift</t>
  </si>
  <si>
    <t>P3F3</t>
  </si>
  <si>
    <t>Dynamic Content Shifts</t>
  </si>
  <si>
    <t>P3F4</t>
  </si>
  <si>
    <t>Font Swap Events</t>
  </si>
  <si>
    <t>P3F5</t>
  </si>
  <si>
    <t>Layout Shift Events</t>
  </si>
  <si>
    <t>First Contentful Paint (FCP) Details (P4)</t>
  </si>
  <si>
    <t>P4F1</t>
  </si>
  <si>
    <t>DNS Lookup</t>
  </si>
  <si>
    <t>&lt; 50 ms</t>
  </si>
  <si>
    <t>P4F2</t>
  </si>
  <si>
    <t>TCP Connection</t>
  </si>
  <si>
    <t>P4F3</t>
  </si>
  <si>
    <t>SSL Handshake</t>
  </si>
  <si>
    <t>P4F4</t>
  </si>
  <si>
    <t>P4F5</t>
  </si>
  <si>
    <t>CSS Blocking</t>
  </si>
  <si>
    <t>P4F6</t>
  </si>
  <si>
    <t>First Paint Render</t>
  </si>
  <si>
    <t>Speed Index Details (P5)</t>
  </si>
  <si>
    <t>P5F1</t>
  </si>
  <si>
    <t>Above-Fold Image Load</t>
  </si>
  <si>
    <t>&lt; 800 ms</t>
  </si>
  <si>
    <t>P5F2</t>
  </si>
  <si>
    <t>CSS Render Time</t>
  </si>
  <si>
    <t>P5F3</t>
  </si>
  <si>
    <t>JavaScript Render Time</t>
  </si>
  <si>
    <t>P5F4</t>
  </si>
  <si>
    <t>DOM Render Time</t>
  </si>
  <si>
    <t>P5F5</t>
  </si>
  <si>
    <t>Visual Completion</t>
  </si>
  <si>
    <t>&lt; 2000 ms</t>
  </si>
  <si>
    <t>Color Contrast Details (A1)</t>
  </si>
  <si>
    <t>A1F1</t>
  </si>
  <si>
    <t>Text Element Contrast Ratio</t>
  </si>
  <si>
    <t>ratio</t>
  </si>
  <si>
    <t>Higher</t>
  </si>
  <si>
    <t>&gt;= 4.5:1</t>
  </si>
  <si>
    <t>A1F2</t>
  </si>
  <si>
    <t>UI Component Border Contrast</t>
  </si>
  <si>
    <t>&gt;= 3.0:1</t>
  </si>
  <si>
    <t>A1F3</t>
  </si>
  <si>
    <t>Low Contrast Buttons</t>
  </si>
  <si>
    <t>A1F4</t>
  </si>
  <si>
    <t>Low Contrast Links</t>
  </si>
  <si>
    <t>Image Alt Text Details (A2)</t>
  </si>
  <si>
    <t>A2F1</t>
  </si>
  <si>
    <t>Missing Alt Text</t>
  </si>
  <si>
    <t>A2F2</t>
  </si>
  <si>
    <t>Empty Alt Attributes</t>
  </si>
  <si>
    <t>A2F3</t>
  </si>
  <si>
    <t>Decorative Images Tagged</t>
  </si>
  <si>
    <t>Reference</t>
  </si>
  <si>
    <t>n/a</t>
  </si>
  <si>
    <t>A2F4</t>
  </si>
  <si>
    <t>Total Images Scanned</t>
  </si>
  <si>
    <t>Form Labels Details (A3)</t>
  </si>
  <si>
    <t>A3F1</t>
  </si>
  <si>
    <t>Missing Form Labels</t>
  </si>
  <si>
    <t>A3F2</t>
  </si>
  <si>
    <t>Placeholder-Only Inputs</t>
  </si>
  <si>
    <t>A3F3</t>
  </si>
  <si>
    <t>Required Fields</t>
  </si>
  <si>
    <t>A3F4</t>
  </si>
  <si>
    <t>Total Inputs Scanned</t>
  </si>
  <si>
    <t>Keyboard Navigation Details (A4)</t>
  </si>
  <si>
    <t>A4F1</t>
  </si>
  <si>
    <t>Keyboard Traps</t>
  </si>
  <si>
    <t>A4F2</t>
  </si>
  <si>
    <t>Missing Focus Indicators</t>
  </si>
  <si>
    <t>A4F3</t>
  </si>
  <si>
    <t>Tab Order Errors</t>
  </si>
  <si>
    <t>A4F4</t>
  </si>
  <si>
    <t>Focusable Elements</t>
  </si>
  <si>
    <t>ARIA Attributes Details (A5)</t>
  </si>
  <si>
    <t>A5F1</t>
  </si>
  <si>
    <t>Missing ARIA Labels</t>
  </si>
  <si>
    <t>A5F2</t>
  </si>
  <si>
    <t>Invalid ARIA Roles</t>
  </si>
  <si>
    <t>A5F3</t>
  </si>
  <si>
    <t>Missing Descriptions</t>
  </si>
  <si>
    <t>A5F4</t>
  </si>
  <si>
    <t>Landmark Errors</t>
  </si>
  <si>
    <t>Heading Structure Details (A6)</t>
  </si>
  <si>
    <t>A6F1</t>
  </si>
  <si>
    <t>Missing Headings</t>
  </si>
  <si>
    <t>A6F2</t>
  </si>
  <si>
    <t>Incorrect Heading Order</t>
  </si>
  <si>
    <t>A6F3</t>
  </si>
  <si>
    <t>H1 Count</t>
  </si>
  <si>
    <t>A6F4</t>
  </si>
  <si>
    <t>H2 Count</t>
  </si>
  <si>
    <t>HTTPS Security Details (B1)</t>
  </si>
  <si>
    <t>B1F1</t>
  </si>
  <si>
    <t>Mixed Content Warnings</t>
  </si>
  <si>
    <t>B1F2</t>
  </si>
  <si>
    <t>HTTPS Enabled</t>
  </si>
  <si>
    <t>Yes</t>
  </si>
  <si>
    <t>bool</t>
  </si>
  <si>
    <t>Boolean</t>
  </si>
  <si>
    <t>Should be Yes</t>
  </si>
  <si>
    <t>B1F3</t>
  </si>
  <si>
    <t>SSL Certificate Valid</t>
  </si>
  <si>
    <t>B1F4</t>
  </si>
  <si>
    <t>Secure Cookies</t>
  </si>
  <si>
    <t>JavaScript Errors Details (B2)</t>
  </si>
  <si>
    <t>B2F1</t>
  </si>
  <si>
    <t>Runtime Errors</t>
  </si>
  <si>
    <t>B2F2</t>
  </si>
  <si>
    <t>Syntax Errors</t>
  </si>
  <si>
    <t>B2F3</t>
  </si>
  <si>
    <t>Promise Rejections</t>
  </si>
  <si>
    <t>B2F4</t>
  </si>
  <si>
    <t>Failed Resource Loads</t>
  </si>
  <si>
    <t>Console Errors Details (B3)</t>
  </si>
  <si>
    <t>B3F1</t>
  </si>
  <si>
    <t>B3F2</t>
  </si>
  <si>
    <t>Console Warnings</t>
  </si>
  <si>
    <t>B3F3</t>
  </si>
  <si>
    <t>Failed Network Requests</t>
  </si>
  <si>
    <t>B3F4</t>
  </si>
  <si>
    <t>Missing Resources</t>
  </si>
  <si>
    <t>Deprecated APIs Details (B4)</t>
  </si>
  <si>
    <t>B4F1</t>
  </si>
  <si>
    <t>Deprecated API Warnings</t>
  </si>
  <si>
    <t>B4F2</t>
  </si>
  <si>
    <t>Modern Framework Usage</t>
  </si>
  <si>
    <t>B4F3</t>
  </si>
  <si>
    <t>Standard Feature Support</t>
  </si>
  <si>
    <t>B4F4</t>
  </si>
  <si>
    <t>Total API Checks Passed</t>
  </si>
  <si>
    <t>Third-Party Libraries Details (B5)</t>
  </si>
  <si>
    <t>B5F1</t>
  </si>
  <si>
    <t>Vulnerable Libraries</t>
  </si>
  <si>
    <t>B5F2</t>
  </si>
  <si>
    <t>Outdated Libraries</t>
  </si>
  <si>
    <t>B5F3</t>
  </si>
  <si>
    <t>Total Libraries Scanned</t>
  </si>
  <si>
    <t>B5F4</t>
  </si>
  <si>
    <t>Unused Code Size</t>
  </si>
  <si>
    <t>KB</t>
  </si>
  <si>
    <t>&lt; 100 KB</t>
  </si>
  <si>
    <t>Image Optimization Details (B6)</t>
  </si>
  <si>
    <t>B6F1</t>
  </si>
  <si>
    <t>Unoptimized Image Size</t>
  </si>
  <si>
    <t>B6F2</t>
  </si>
  <si>
    <t>Modern Format Usage (WebP/AVIF)</t>
  </si>
  <si>
    <t>%</t>
  </si>
  <si>
    <t>&gt;= 95%</t>
  </si>
  <si>
    <t>B6F3</t>
  </si>
  <si>
    <t>Properly Sized Images</t>
  </si>
  <si>
    <t>B6F4</t>
  </si>
  <si>
    <t>Total Images Checked</t>
  </si>
  <si>
    <t>Meta Title Details (S1)</t>
  </si>
  <si>
    <t>S1F1</t>
  </si>
  <si>
    <t>Meta Title Presence</t>
  </si>
  <si>
    <t>S1F2</t>
  </si>
  <si>
    <t>Meta Title Length</t>
  </si>
  <si>
    <t>char</t>
  </si>
  <si>
    <t>Range</t>
  </si>
  <si>
    <t>50-60</t>
  </si>
  <si>
    <t>50 to 60 char</t>
  </si>
  <si>
    <t>S1F3</t>
  </si>
  <si>
    <t>Keyword Placement</t>
  </si>
  <si>
    <t>Optimal</t>
  </si>
  <si>
    <t>text</t>
  </si>
  <si>
    <t>Quality</t>
  </si>
  <si>
    <t>High</t>
  </si>
  <si>
    <t>High Quality</t>
  </si>
  <si>
    <t>S1F4</t>
  </si>
  <si>
    <t>Duplicate Meta Titles</t>
  </si>
  <si>
    <t>Meta Description Details (S2)</t>
  </si>
  <si>
    <t>S2F1</t>
  </si>
  <si>
    <t>Meta Description Presence</t>
  </si>
  <si>
    <t>S2F2</t>
  </si>
  <si>
    <t>Meta Description Length</t>
  </si>
  <si>
    <t>120-160</t>
  </si>
  <si>
    <t>120 to 160 char</t>
  </si>
  <si>
    <t>S2F3</t>
  </si>
  <si>
    <t>Duplicate Meta Descriptions</t>
  </si>
  <si>
    <t>S2F4</t>
  </si>
  <si>
    <t>Keyword Richness</t>
  </si>
  <si>
    <t>Heading Structure Details (S3)</t>
  </si>
  <si>
    <t>S3F1</t>
  </si>
  <si>
    <t>H1 Tag Presence</t>
  </si>
  <si>
    <t>S3F2</t>
  </si>
  <si>
    <t>Multiple H1 Tags</t>
  </si>
  <si>
    <t>S3F3</t>
  </si>
  <si>
    <t>Heading Hierarchy Duplications</t>
  </si>
  <si>
    <t>S3F4</t>
  </si>
  <si>
    <t>Empty Heading Tags</t>
  </si>
  <si>
    <t>S3F5</t>
  </si>
  <si>
    <t>Keyword Inclusion in H1/H2</t>
  </si>
  <si>
    <t>Robots.txt Details (S4)</t>
  </si>
  <si>
    <t>S4F1</t>
  </si>
  <si>
    <t>Robots.txt Presence</t>
  </si>
  <si>
    <t>S4F2</t>
  </si>
  <si>
    <t>S4F3</t>
  </si>
  <si>
    <t>Sitemap Directive Specified</t>
  </si>
  <si>
    <t>S4F4</t>
  </si>
  <si>
    <t>Critical Paths Blocked</t>
  </si>
  <si>
    <t>Sitemap.xml Details (S5)</t>
  </si>
  <si>
    <t>S5F1</t>
  </si>
  <si>
    <t>Sitemap.xml Presence</t>
  </si>
  <si>
    <t>S5F2</t>
  </si>
  <si>
    <t>XML Syntax Errors</t>
  </si>
  <si>
    <t>S5F3</t>
  </si>
  <si>
    <t>Broken Links inside Sitemap</t>
  </si>
  <si>
    <t>S5F4</t>
  </si>
  <si>
    <t>Non-Indexable URLs Included</t>
  </si>
  <si>
    <t>S5F5</t>
  </si>
  <si>
    <t>File Size (Uncompressed)</t>
  </si>
  <si>
    <t>MB</t>
  </si>
  <si>
    <t>&lt; 50 MB</t>
  </si>
  <si>
    <t>S5F6</t>
  </si>
  <si>
    <t>Total URL Count</t>
  </si>
  <si>
    <t>Max</t>
  </si>
  <si>
    <t>&lt; 50000 URLs</t>
  </si>
  <si>
    <t>Mobile Friendliness Details (S6)</t>
  </si>
  <si>
    <t>S6F1</t>
  </si>
  <si>
    <t>Viewport Configuration (Meta Tag)</t>
  </si>
  <si>
    <t>S6F2</t>
  </si>
  <si>
    <t>Content Width Fit to Screen</t>
  </si>
  <si>
    <t>S6F3</t>
  </si>
  <si>
    <t>Tap Target Size &amp; Spacing Errors</t>
  </si>
  <si>
    <t>S6F4</t>
  </si>
  <si>
    <t>Legible Font Sizes (&lt; 12px)</t>
  </si>
  <si>
    <t>S6F5</t>
  </si>
  <si>
    <t>Mobile-Friendly Dynamic Pop-ups</t>
  </si>
  <si>
    <t>S6F6</t>
  </si>
  <si>
    <t>App Interstitial Intrusion</t>
  </si>
  <si>
    <t>None</t>
  </si>
  <si>
    <t>No Intrusion</t>
  </si>
  <si>
    <t>LEVEL 4 — Optimization Suggestions</t>
  </si>
  <si>
    <t>Performance Suggestions</t>
  </si>
  <si>
    <t>Suggestion ID</t>
  </si>
  <si>
    <t>Problem</t>
  </si>
  <si>
    <t>Recommendation</t>
  </si>
  <si>
    <t>Est. Score Gain</t>
  </si>
  <si>
    <t>Priority</t>
  </si>
  <si>
    <t>SGP1</t>
  </si>
  <si>
    <t>240 KB unoptimized images and only 85% modern format usage are pulling the score down to 85.0.</t>
  </si>
  <si>
    <t>Compress and convert product/banner images to AVIF/WebP, and implement dynamic srcset.</t>
  </si>
  <si>
    <t>SGP2</t>
  </si>
  <si>
    <t>420 KB of unused JavaScript on initial load drops the bundle efficiency score to 85.0.</t>
  </si>
  <si>
    <t>Implement strict bundle splitting via Webpack/Vite and defer non-critical scripts.</t>
  </si>
  <si>
    <t>SGP3</t>
  </si>
  <si>
    <t>B3 / B2</t>
  </si>
  <si>
    <t>2 console errors and 2 unhandled promise rejections cause runtime stability scores to hover at 80.0.</t>
  </si>
  <si>
    <t>Add global exception handlers (try/catch) and audit failed API calls.</t>
  </si>
  <si>
    <t>Medium</t>
  </si>
  <si>
    <t>SGP4</t>
  </si>
  <si>
    <t>1 deprecated API warning slightly lowers the framework hygiene score to 90.0.</t>
  </si>
  <si>
    <t>Replace the legacy API method with its modern native equivalent.</t>
  </si>
  <si>
    <t>Low</t>
  </si>
  <si>
    <t>Accessibility Suggestions</t>
  </si>
  <si>
    <t>SGA1</t>
  </si>
  <si>
    <t>5 missing ARIA labels, 2 invalid roles, and 4 missing descriptions drop the ARIA score to 68.0.</t>
  </si>
  <si>
    <t>Add explicit aria-label attributes to icon-only buttons (like cart/search) and correct semantic structural roles.</t>
  </si>
  <si>
    <t>SGA2</t>
  </si>
  <si>
    <t>3 missing form labels and 5 placeholder-only inputs bring the form usability score down to 70.0.</t>
  </si>
  <si>
    <t>Bind all inputs programmatically to a &lt;label&gt; element using id and for attributes; do not rely on placeholders.</t>
  </si>
  <si>
    <t>SGA3</t>
  </si>
  <si>
    <t>3 incorrect heading order errors and 1 missing heading result in a hierarchy score of 69.0.</t>
  </si>
  <si>
    <t>Restructure the page outline to follow a sequential hierarchy (e.g., nesting H3 elements strictly under H2 sections).</t>
  </si>
  <si>
    <t>SGA4</t>
  </si>
  <si>
    <t>4 missing focus indicators and 3 tab order errors reduce the keyboard operability score to 75.0.</t>
  </si>
  <si>
    <t>Define distinct visual :focus-visible CSS styles for interactive elements, and fix tabindex flows across carousels.</t>
  </si>
  <si>
    <t>Best Practices Suggestions</t>
  </si>
  <si>
    <t>SGB1</t>
  </si>
  <si>
    <t>1 runtime error and 2 unhandled promise rejections drop the JavaScript runtime stability score to 80.0.</t>
  </si>
  <si>
    <t>Wrap asynchronous API operations in try/catch blocks and implement a global fallback error boundary.</t>
  </si>
  <si>
    <t>SGB2</t>
  </si>
  <si>
    <t>B2 / B3</t>
  </si>
  <si>
    <t>2 failed resource loads and 3 missing resources lead to broken static file calls, pulling the resource score down to 75.0.</t>
  </si>
  <si>
    <t>Audit and update broken relative paths in source HTML/CSS templates; remove legacy asset links that return 404s.</t>
  </si>
  <si>
    <t>SGB3</t>
  </si>
  <si>
    <t>1 deprecated API warning flags the usage of outdated browser methods, lowering framework hygiene to 90.0.</t>
  </si>
  <si>
    <t>Replace the deprecated API methods (e.g., migrating from legacy syntax) with their modern, native web platform equivalents.</t>
  </si>
  <si>
    <t>SGB4</t>
  </si>
  <si>
    <t>Perfect security posture across HTTPS, SSL validity, and secure cookies, keeping the security baseline score at 100.0.</t>
  </si>
  <si>
    <t>Maintain current automated certificate renewal scripts and strict HSTS policy rules to prevent regression.</t>
  </si>
  <si>
    <t>0.0 (Maintain)</t>
  </si>
  <si>
    <t>SEO Suggestions</t>
  </si>
  <si>
    <t>SGS1</t>
  </si>
  <si>
    <t>6 tap target size/spacing errors and 4 instances of small text (&lt;12px) drag the mobile compliance score down to 78.0.</t>
  </si>
  <si>
    <t>Increase button dimensions to a minimum of 48x48px with adequate margins, and scale up tiny footer/legal text fonts.</t>
  </si>
  <si>
    <t>SGS2</t>
  </si>
  <si>
    <t>2 duplicate heading hierarchies and 1 entirely empty heading tag lower the structural SEO score to 80.0.</t>
  </si>
  <si>
    <t>Remove empty elements from the DOM template and ensure semantic uniqueness across section blocks.</t>
  </si>
  <si>
    <t>SGS3</t>
  </si>
  <si>
    <t>Meta title length is 48 characters, falling just short of the recommended target range, which reduces the score to 85.0.</t>
  </si>
  <si>
    <t>Expand meta titles to sit within the optimal 50–60 character window to maximize click-through rate visibility in search results.</t>
  </si>
  <si>
    <t>SGS4</t>
  </si>
  <si>
    <t>4 broken links and 2 non-indexable URLs are included inside the sitemap, dropping the crawl efficiency score to 92.0.</t>
  </si>
  <si>
    <t>Filter out URLs returning 404 responses or containing noindex tags from the automated sitemap generation engine.</t>
  </si>
  <si>
    <t>SGS5</t>
  </si>
  <si>
    <t>Content width stands at 98%, meaning minor structural overflow requires horizontal scrolling, dipping the score to 95.0.</t>
  </si>
  <si>
    <t>Fix CSS box-sizing constraints or absolute widths on container components to enforce 100% strict viewport alignment.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</si>
</sst>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4.0"/>
      <color rgb="FF000000"/>
      <name val="Arial"/>
    </font>
    <font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b/>
      <sz val="14.0"/>
      <color theme="1"/>
      <name val="&quot;Google Sans&quot;"/>
    </font>
    <font>
      <b/>
      <color theme="1"/>
      <name val="&quot;Google Sans&quot;"/>
    </font>
    <font>
      <b/>
      <color theme="1"/>
      <name val="&quot;Google Sans Text&quot;"/>
    </font>
    <font>
      <b/>
      <color theme="1"/>
      <name val="Arial"/>
      <scheme val="minor"/>
    </font>
    <font>
      <b/>
      <sz val="12.0"/>
      <color theme="1"/>
      <name val="&quot;Google Sans Text&quot;"/>
    </font>
    <font>
      <sz val="12.0"/>
      <color theme="1"/>
      <name val="&quot;Google Sans Text&quot;"/>
    </font>
    <font>
      <color theme="1"/>
      <name val="&quot;Google Sans Text&quot;"/>
    </font>
    <font>
      <sz val="12.0"/>
      <color theme="1"/>
      <name val="Arial"/>
      <scheme val="minor"/>
    </font>
    <font>
      <b/>
      <sz val="14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9" xfId="0" applyAlignment="1" applyFont="1" applyNumberFormat="1">
      <alignment vertical="bottom"/>
    </xf>
    <xf borderId="1" fillId="3" fontId="3" numFmtId="0" xfId="0" applyAlignment="1" applyBorder="1" applyFill="1" applyFont="1">
      <alignment vertical="bottom"/>
    </xf>
    <xf borderId="1" fillId="3" fontId="3" numFmtId="9" xfId="0" applyAlignment="1" applyBorder="1" applyFont="1" applyNumberFormat="1">
      <alignment vertical="bottom"/>
    </xf>
    <xf borderId="1" fillId="0" fontId="4" numFmtId="0" xfId="0" applyAlignment="1" applyBorder="1" applyFont="1">
      <alignment vertical="bottom"/>
    </xf>
    <xf borderId="1" fillId="0" fontId="4" numFmtId="9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horizontal="right"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7" numFmtId="0" xfId="0" applyFont="1"/>
    <xf borderId="2" fillId="3" fontId="9" numFmtId="0" xfId="0" applyAlignment="1" applyBorder="1" applyFont="1">
      <alignment readingOrder="0"/>
    </xf>
    <xf borderId="2" fillId="3" fontId="7" numFmtId="0" xfId="0" applyAlignment="1" applyBorder="1" applyFont="1">
      <alignment readingOrder="0"/>
    </xf>
    <xf borderId="2" fillId="3" fontId="10" numFmtId="0" xfId="0" applyAlignment="1" applyBorder="1" applyFont="1">
      <alignment readingOrder="0"/>
    </xf>
    <xf borderId="2" fillId="0" fontId="10" numFmtId="0" xfId="0" applyAlignment="1" applyBorder="1" applyFont="1">
      <alignment readingOrder="0"/>
    </xf>
    <xf borderId="2" fillId="0" fontId="10" numFmtId="9" xfId="0" applyAlignment="1" applyBorder="1" applyFont="1" applyNumberFormat="1">
      <alignment readingOrder="0"/>
    </xf>
    <xf borderId="2" fillId="0" fontId="11" numFmtId="0" xfId="0" applyAlignment="1" applyBorder="1" applyFont="1">
      <alignment readingOrder="0"/>
    </xf>
    <xf borderId="2" fillId="0" fontId="11" numFmtId="9" xfId="0" applyAlignment="1" applyBorder="1" applyFont="1" applyNumberFormat="1">
      <alignment readingOrder="0"/>
    </xf>
    <xf borderId="2" fillId="0" fontId="12" numFmtId="0" xfId="0" applyAlignment="1" applyBorder="1" applyFont="1">
      <alignment readingOrder="0"/>
    </xf>
    <xf borderId="0" fillId="0" fontId="13" numFmtId="0" xfId="0" applyAlignment="1" applyFont="1">
      <alignment readingOrder="0"/>
    </xf>
    <xf borderId="0" fillId="0" fontId="11" numFmtId="0" xfId="0" applyAlignment="1" applyFont="1">
      <alignment readingOrder="0"/>
    </xf>
    <xf borderId="2" fillId="4" fontId="9" numFmtId="0" xfId="0" applyAlignment="1" applyBorder="1" applyFill="1" applyFont="1">
      <alignment readingOrder="0"/>
    </xf>
    <xf borderId="2" fillId="0" fontId="1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75"/>
  </cols>
  <sheetData>
    <row r="1">
      <c r="A1" s="1" t="s">
        <v>0</v>
      </c>
      <c r="B1" s="2"/>
      <c r="C1" s="2"/>
      <c r="D1" s="2"/>
      <c r="E1" s="2"/>
    </row>
    <row r="2">
      <c r="A2" s="2"/>
      <c r="B2" s="2"/>
      <c r="C2" s="3"/>
      <c r="D2" s="2"/>
      <c r="E2" s="2"/>
    </row>
    <row r="3">
      <c r="A3" s="4" t="s">
        <v>1</v>
      </c>
      <c r="B3" s="4" t="s">
        <v>2</v>
      </c>
      <c r="C3" s="5" t="s">
        <v>3</v>
      </c>
      <c r="D3" s="4" t="s">
        <v>4</v>
      </c>
      <c r="E3" s="4" t="s">
        <v>5</v>
      </c>
    </row>
    <row r="4">
      <c r="A4" s="6" t="s">
        <v>6</v>
      </c>
      <c r="B4" s="6" t="s">
        <v>7</v>
      </c>
      <c r="C4" s="7">
        <v>0.25</v>
      </c>
      <c r="D4" s="8">
        <f>SUMPRODUCT(D17:D21, E17:E21)</f>
        <v>87.41666667</v>
      </c>
      <c r="E4" s="6" t="s">
        <v>8</v>
      </c>
    </row>
    <row r="5">
      <c r="A5" s="6" t="s">
        <v>9</v>
      </c>
      <c r="B5" s="6" t="s">
        <v>10</v>
      </c>
      <c r="C5" s="7">
        <v>0.25</v>
      </c>
      <c r="D5" s="8">
        <f>SUMPRODUCT(J17:J22, K17:K22)</f>
        <v>81.79625</v>
      </c>
      <c r="E5" s="6" t="s">
        <v>11</v>
      </c>
    </row>
    <row r="6">
      <c r="A6" s="6" t="s">
        <v>12</v>
      </c>
      <c r="B6" s="6" t="s">
        <v>13</v>
      </c>
      <c r="C6" s="7">
        <v>0.25</v>
      </c>
      <c r="D6" s="8">
        <f>SUMPRODUCT(P17:P22, Q17:Q22)</f>
        <v>88.83535</v>
      </c>
      <c r="E6" s="6" t="s">
        <v>11</v>
      </c>
    </row>
    <row r="7">
      <c r="A7" s="6" t="s">
        <v>14</v>
      </c>
      <c r="B7" s="6" t="s">
        <v>15</v>
      </c>
      <c r="C7" s="7">
        <v>0.25</v>
      </c>
      <c r="D7" s="8">
        <f>SUMPRODUCT(V17:V22,W17:W22)</f>
        <v>95.9215</v>
      </c>
      <c r="E7" s="6" t="s">
        <v>11</v>
      </c>
    </row>
    <row r="8">
      <c r="A8" s="6" t="s">
        <v>16</v>
      </c>
      <c r="B8" s="6" t="s">
        <v>17</v>
      </c>
      <c r="C8" s="7">
        <v>1.0</v>
      </c>
      <c r="D8" s="8">
        <f>SUMPRODUCT(C4:C7, D4:D7)</f>
        <v>88.49244167</v>
      </c>
      <c r="E8" s="6" t="s">
        <v>11</v>
      </c>
    </row>
    <row r="11">
      <c r="A11" s="9" t="s">
        <v>18</v>
      </c>
    </row>
    <row r="12">
      <c r="A12" s="10"/>
    </row>
    <row r="13">
      <c r="A13" s="11" t="s">
        <v>19</v>
      </c>
      <c r="G13" s="12" t="s">
        <v>20</v>
      </c>
      <c r="M13" s="12" t="s">
        <v>21</v>
      </c>
      <c r="S13" s="12" t="s">
        <v>22</v>
      </c>
    </row>
    <row r="14">
      <c r="A14" s="11"/>
      <c r="G14" s="11"/>
    </row>
    <row r="15">
      <c r="A15" s="13"/>
      <c r="G15" s="13"/>
    </row>
    <row r="16">
      <c r="A16" s="14" t="s">
        <v>23</v>
      </c>
      <c r="B16" s="14" t="s">
        <v>1</v>
      </c>
      <c r="C16" s="14" t="s">
        <v>24</v>
      </c>
      <c r="D16" s="14" t="s">
        <v>3</v>
      </c>
      <c r="E16" s="14" t="s">
        <v>4</v>
      </c>
      <c r="F16" s="11"/>
      <c r="G16" s="15" t="s">
        <v>23</v>
      </c>
      <c r="H16" s="15" t="s">
        <v>1</v>
      </c>
      <c r="I16" s="15" t="s">
        <v>24</v>
      </c>
      <c r="J16" s="15" t="s">
        <v>3</v>
      </c>
      <c r="K16" s="15" t="s">
        <v>4</v>
      </c>
      <c r="M16" s="14" t="s">
        <v>23</v>
      </c>
      <c r="N16" s="14" t="s">
        <v>1</v>
      </c>
      <c r="O16" s="14" t="s">
        <v>24</v>
      </c>
      <c r="P16" s="14" t="s">
        <v>3</v>
      </c>
      <c r="Q16" s="14" t="s">
        <v>4</v>
      </c>
      <c r="S16" s="16" t="s">
        <v>23</v>
      </c>
      <c r="T16" s="16" t="s">
        <v>1</v>
      </c>
      <c r="U16" s="16" t="s">
        <v>24</v>
      </c>
      <c r="V16" s="16" t="s">
        <v>3</v>
      </c>
      <c r="W16" s="16" t="s">
        <v>4</v>
      </c>
    </row>
    <row r="17">
      <c r="A17" s="17" t="s">
        <v>25</v>
      </c>
      <c r="B17" s="17" t="s">
        <v>6</v>
      </c>
      <c r="C17" s="17" t="s">
        <v>26</v>
      </c>
      <c r="D17" s="18">
        <v>0.25</v>
      </c>
      <c r="E17" s="17">
        <f>AVERAGE(H29:H34)</f>
        <v>56.66666667</v>
      </c>
      <c r="F17" s="11"/>
      <c r="G17" s="19" t="s">
        <v>27</v>
      </c>
      <c r="H17" s="19" t="s">
        <v>9</v>
      </c>
      <c r="I17" s="19" t="s">
        <v>28</v>
      </c>
      <c r="J17" s="20">
        <v>0.2</v>
      </c>
      <c r="K17" s="19">
        <f>AVERAGE(H81:H84)</f>
        <v>66.25</v>
      </c>
      <c r="M17" s="17" t="s">
        <v>29</v>
      </c>
      <c r="N17" s="17" t="s">
        <v>12</v>
      </c>
      <c r="O17" s="17" t="s">
        <v>30</v>
      </c>
      <c r="P17" s="18">
        <v>0.25</v>
      </c>
      <c r="Q17" s="17">
        <f>AVERAGE(H135:H138)</f>
        <v>100</v>
      </c>
      <c r="S17" s="17" t="s">
        <v>31</v>
      </c>
      <c r="T17" s="17" t="s">
        <v>14</v>
      </c>
      <c r="U17" s="17" t="s">
        <v>32</v>
      </c>
      <c r="V17" s="18">
        <v>0.25</v>
      </c>
      <c r="W17" s="17">
        <f>AVERAGE(H189:H192)</f>
        <v>93.75</v>
      </c>
    </row>
    <row r="18">
      <c r="A18" s="17" t="s">
        <v>33</v>
      </c>
      <c r="B18" s="17" t="s">
        <v>6</v>
      </c>
      <c r="C18" s="17" t="s">
        <v>34</v>
      </c>
      <c r="D18" s="18">
        <v>0.3</v>
      </c>
      <c r="E18" s="17">
        <f>AVERAGE(H40:H44)</f>
        <v>100</v>
      </c>
      <c r="F18" s="11"/>
      <c r="G18" s="19" t="s">
        <v>35</v>
      </c>
      <c r="H18" s="19" t="s">
        <v>9</v>
      </c>
      <c r="I18" s="19" t="s">
        <v>36</v>
      </c>
      <c r="J18" s="20">
        <v>0.2</v>
      </c>
      <c r="K18" s="19">
        <f>AVERAGE(H90:H93)</f>
        <v>89.0625</v>
      </c>
      <c r="M18" s="17" t="s">
        <v>37</v>
      </c>
      <c r="N18" s="17" t="s">
        <v>12</v>
      </c>
      <c r="O18" s="17" t="s">
        <v>38</v>
      </c>
      <c r="P18" s="18">
        <v>0.2</v>
      </c>
      <c r="Q18" s="17">
        <f>AVERAGE(H144:H147)</f>
        <v>84.375</v>
      </c>
      <c r="S18" s="17" t="s">
        <v>39</v>
      </c>
      <c r="T18" s="17" t="s">
        <v>14</v>
      </c>
      <c r="U18" s="17" t="s">
        <v>40</v>
      </c>
      <c r="V18" s="18">
        <v>0.2</v>
      </c>
      <c r="W18" s="17">
        <f>AVERAGE(H198:H201)</f>
        <v>98.75</v>
      </c>
    </row>
    <row r="19">
      <c r="A19" s="17" t="s">
        <v>41</v>
      </c>
      <c r="B19" s="17" t="s">
        <v>6</v>
      </c>
      <c r="C19" s="17" t="s">
        <v>42</v>
      </c>
      <c r="D19" s="18">
        <v>0.25</v>
      </c>
      <c r="E19" s="17">
        <f>AVERAGE(H50:H54)</f>
        <v>100</v>
      </c>
      <c r="F19" s="11"/>
      <c r="G19" s="19" t="s">
        <v>43</v>
      </c>
      <c r="H19" s="19" t="s">
        <v>9</v>
      </c>
      <c r="I19" s="19" t="s">
        <v>44</v>
      </c>
      <c r="J19" s="20">
        <v>0.15</v>
      </c>
      <c r="K19" s="19">
        <f>AVERAGE(H99:H102)</f>
        <v>80</v>
      </c>
      <c r="M19" s="17" t="s">
        <v>45</v>
      </c>
      <c r="N19" s="17" t="s">
        <v>12</v>
      </c>
      <c r="O19" s="17" t="s">
        <v>46</v>
      </c>
      <c r="P19" s="18">
        <v>0.15</v>
      </c>
      <c r="Q19" s="17">
        <f>AVERAGE(H153:H156)</f>
        <v>70.845</v>
      </c>
      <c r="S19" s="17" t="s">
        <v>47</v>
      </c>
      <c r="T19" s="17" t="s">
        <v>14</v>
      </c>
      <c r="U19" s="17" t="s">
        <v>48</v>
      </c>
      <c r="V19" s="18">
        <v>0.2</v>
      </c>
      <c r="W19" s="17">
        <f>AVERAGE(H207:H211)</f>
        <v>93</v>
      </c>
    </row>
    <row r="20">
      <c r="A20" s="17" t="s">
        <v>49</v>
      </c>
      <c r="B20" s="17" t="s">
        <v>6</v>
      </c>
      <c r="C20" s="17" t="s">
        <v>50</v>
      </c>
      <c r="D20" s="18">
        <v>0.1</v>
      </c>
      <c r="E20" s="17">
        <f>AVERAGE(H60:H65)</f>
        <v>82.5</v>
      </c>
      <c r="F20" s="11"/>
      <c r="G20" s="19" t="s">
        <v>51</v>
      </c>
      <c r="H20" s="19" t="s">
        <v>9</v>
      </c>
      <c r="I20" s="19" t="s">
        <v>52</v>
      </c>
      <c r="J20" s="20">
        <v>0.15</v>
      </c>
      <c r="K20" s="19">
        <f>AVERAGE(H108:H111)</f>
        <v>88.9225</v>
      </c>
      <c r="M20" s="17" t="s">
        <v>53</v>
      </c>
      <c r="N20" s="17" t="s">
        <v>12</v>
      </c>
      <c r="O20" s="17" t="s">
        <v>54</v>
      </c>
      <c r="P20" s="18">
        <v>0.15</v>
      </c>
      <c r="Q20" s="17">
        <f>AVERAGE(H162:H165)</f>
        <v>97.5</v>
      </c>
      <c r="S20" s="17" t="s">
        <v>55</v>
      </c>
      <c r="T20" s="17" t="s">
        <v>14</v>
      </c>
      <c r="U20" s="17" t="s">
        <v>56</v>
      </c>
      <c r="V20" s="18">
        <v>0.15</v>
      </c>
      <c r="W20" s="17">
        <f>AVERAGE(H217:H220)</f>
        <v>100</v>
      </c>
    </row>
    <row r="21">
      <c r="A21" s="17" t="s">
        <v>57</v>
      </c>
      <c r="B21" s="17" t="s">
        <v>6</v>
      </c>
      <c r="C21" s="17" t="s">
        <v>58</v>
      </c>
      <c r="D21" s="18">
        <v>0.1</v>
      </c>
      <c r="E21" s="17">
        <f>AVERAGE(H71:H75)</f>
        <v>100</v>
      </c>
      <c r="F21" s="11"/>
      <c r="G21" s="19" t="s">
        <v>59</v>
      </c>
      <c r="H21" s="19" t="s">
        <v>9</v>
      </c>
      <c r="I21" s="19" t="s">
        <v>60</v>
      </c>
      <c r="J21" s="20">
        <v>0.15</v>
      </c>
      <c r="K21" s="19">
        <f>AVERAGE(H117:H120)</f>
        <v>80.8</v>
      </c>
      <c r="M21" s="17" t="s">
        <v>61</v>
      </c>
      <c r="N21" s="17" t="s">
        <v>12</v>
      </c>
      <c r="O21" s="17" t="s">
        <v>62</v>
      </c>
      <c r="P21" s="18">
        <v>0.15</v>
      </c>
      <c r="Q21" s="17">
        <v>85.0</v>
      </c>
      <c r="S21" s="17" t="s">
        <v>63</v>
      </c>
      <c r="T21" s="17" t="s">
        <v>14</v>
      </c>
      <c r="U21" s="17" t="s">
        <v>64</v>
      </c>
      <c r="V21" s="18">
        <v>0.1</v>
      </c>
      <c r="W21" s="17">
        <f>AVERAGE(H226:H231)</f>
        <v>97.83333333</v>
      </c>
    </row>
    <row r="22">
      <c r="G22" s="19" t="s">
        <v>65</v>
      </c>
      <c r="H22" s="19" t="s">
        <v>9</v>
      </c>
      <c r="I22" s="19" t="s">
        <v>48</v>
      </c>
      <c r="J22" s="20">
        <v>0.15</v>
      </c>
      <c r="K22" s="19">
        <f>AVERAGE(H126:H129)</f>
        <v>88.5025</v>
      </c>
      <c r="M22" s="17" t="s">
        <v>66</v>
      </c>
      <c r="N22" s="17" t="s">
        <v>12</v>
      </c>
      <c r="O22" s="17" t="s">
        <v>67</v>
      </c>
      <c r="P22" s="18">
        <v>0.1</v>
      </c>
      <c r="Q22" s="17">
        <f>AVERAGE(H171:H174)</f>
        <v>89.586</v>
      </c>
      <c r="S22" s="17" t="s">
        <v>68</v>
      </c>
      <c r="T22" s="17" t="s">
        <v>14</v>
      </c>
      <c r="U22" s="17" t="s">
        <v>69</v>
      </c>
      <c r="V22" s="18">
        <v>0.1</v>
      </c>
      <c r="W22" s="21">
        <f>AVERAGE(H237:H242)</f>
        <v>93.50666667</v>
      </c>
    </row>
    <row r="24">
      <c r="A24" s="22" t="s">
        <v>70</v>
      </c>
    </row>
    <row r="26">
      <c r="A26" s="12" t="s">
        <v>71</v>
      </c>
    </row>
    <row r="28">
      <c r="A28" s="14" t="s">
        <v>72</v>
      </c>
      <c r="B28" s="14" t="s">
        <v>23</v>
      </c>
      <c r="C28" s="14" t="s">
        <v>73</v>
      </c>
      <c r="D28" s="14" t="s">
        <v>74</v>
      </c>
      <c r="E28" s="14" t="s">
        <v>75</v>
      </c>
      <c r="F28" s="14" t="s">
        <v>76</v>
      </c>
      <c r="G28" s="14" t="s">
        <v>77</v>
      </c>
      <c r="H28" s="14" t="s">
        <v>4</v>
      </c>
      <c r="I28" s="14" t="s">
        <v>78</v>
      </c>
      <c r="J28" s="14" t="s">
        <v>79</v>
      </c>
    </row>
    <row r="29">
      <c r="A29" s="17" t="s">
        <v>80</v>
      </c>
      <c r="B29" s="17" t="s">
        <v>25</v>
      </c>
      <c r="C29" s="17" t="s">
        <v>81</v>
      </c>
      <c r="D29" s="17">
        <v>1200.0</v>
      </c>
      <c r="E29" s="17" t="s">
        <v>82</v>
      </c>
      <c r="F29" s="17" t="s">
        <v>83</v>
      </c>
      <c r="G29" s="17">
        <v>200.0</v>
      </c>
      <c r="H29" s="17">
        <f t="shared" ref="H29:H34" si="1">IF(D29&lt;=G29, 100, MAX(0, 100 - ((D29 - G29) * 0.06)))</f>
        <v>40</v>
      </c>
      <c r="I29" s="17" t="s">
        <v>84</v>
      </c>
      <c r="J29" s="17" t="s">
        <v>85</v>
      </c>
    </row>
    <row r="30">
      <c r="A30" s="17" t="s">
        <v>86</v>
      </c>
      <c r="B30" s="17" t="s">
        <v>25</v>
      </c>
      <c r="C30" s="17" t="s">
        <v>87</v>
      </c>
      <c r="D30" s="17">
        <v>150.0</v>
      </c>
      <c r="E30" s="17" t="s">
        <v>82</v>
      </c>
      <c r="F30" s="17" t="s">
        <v>83</v>
      </c>
      <c r="G30" s="17">
        <v>300.0</v>
      </c>
      <c r="H30" s="17">
        <f t="shared" si="1"/>
        <v>100</v>
      </c>
      <c r="I30" s="17" t="s">
        <v>88</v>
      </c>
      <c r="J30" s="17" t="s">
        <v>89</v>
      </c>
    </row>
    <row r="31">
      <c r="A31" s="17" t="s">
        <v>90</v>
      </c>
      <c r="B31" s="17" t="s">
        <v>25</v>
      </c>
      <c r="C31" s="17" t="s">
        <v>91</v>
      </c>
      <c r="D31" s="17">
        <v>180.0</v>
      </c>
      <c r="E31" s="17" t="s">
        <v>82</v>
      </c>
      <c r="F31" s="17" t="s">
        <v>83</v>
      </c>
      <c r="G31" s="17">
        <v>200.0</v>
      </c>
      <c r="H31" s="17">
        <f t="shared" si="1"/>
        <v>100</v>
      </c>
      <c r="I31" s="17" t="s">
        <v>84</v>
      </c>
      <c r="J31" s="17" t="s">
        <v>89</v>
      </c>
    </row>
    <row r="32">
      <c r="A32" s="17" t="s">
        <v>92</v>
      </c>
      <c r="B32" s="17" t="s">
        <v>25</v>
      </c>
      <c r="C32" s="17" t="s">
        <v>93</v>
      </c>
      <c r="D32" s="17">
        <v>2800.0</v>
      </c>
      <c r="E32" s="17" t="s">
        <v>82</v>
      </c>
      <c r="F32" s="17" t="s">
        <v>83</v>
      </c>
      <c r="G32" s="17">
        <v>500.0</v>
      </c>
      <c r="H32" s="17">
        <f t="shared" si="1"/>
        <v>0</v>
      </c>
      <c r="I32" s="17" t="s">
        <v>94</v>
      </c>
      <c r="J32" s="17" t="s">
        <v>89</v>
      </c>
    </row>
    <row r="33">
      <c r="A33" s="17" t="s">
        <v>95</v>
      </c>
      <c r="B33" s="17" t="s">
        <v>25</v>
      </c>
      <c r="C33" s="17" t="s">
        <v>96</v>
      </c>
      <c r="D33" s="17">
        <v>2800.0</v>
      </c>
      <c r="E33" s="17" t="s">
        <v>82</v>
      </c>
      <c r="F33" s="17" t="s">
        <v>83</v>
      </c>
      <c r="G33" s="17">
        <v>300.0</v>
      </c>
      <c r="H33" s="17">
        <f t="shared" si="1"/>
        <v>0</v>
      </c>
      <c r="I33" s="17" t="s">
        <v>88</v>
      </c>
      <c r="J33" s="17" t="s">
        <v>89</v>
      </c>
    </row>
    <row r="34">
      <c r="A34" s="17" t="s">
        <v>97</v>
      </c>
      <c r="B34" s="17" t="s">
        <v>25</v>
      </c>
      <c r="C34" s="17" t="s">
        <v>98</v>
      </c>
      <c r="D34" s="17">
        <v>90.0</v>
      </c>
      <c r="E34" s="17" t="s">
        <v>82</v>
      </c>
      <c r="F34" s="17" t="s">
        <v>83</v>
      </c>
      <c r="G34" s="17">
        <v>100.0</v>
      </c>
      <c r="H34" s="17">
        <f t="shared" si="1"/>
        <v>100</v>
      </c>
      <c r="I34" s="17" t="s">
        <v>99</v>
      </c>
      <c r="J34" s="17" t="s">
        <v>89</v>
      </c>
    </row>
    <row r="37">
      <c r="A37" s="12" t="s">
        <v>100</v>
      </c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</row>
    <row r="39">
      <c r="A39" s="14" t="s">
        <v>72</v>
      </c>
      <c r="B39" s="14" t="s">
        <v>23</v>
      </c>
      <c r="C39" s="14" t="s">
        <v>73</v>
      </c>
      <c r="D39" s="14" t="s">
        <v>74</v>
      </c>
      <c r="E39" s="14" t="s">
        <v>75</v>
      </c>
      <c r="F39" s="14" t="s">
        <v>76</v>
      </c>
      <c r="G39" s="14" t="s">
        <v>77</v>
      </c>
      <c r="H39" s="14" t="s">
        <v>4</v>
      </c>
      <c r="I39" s="14" t="s">
        <v>78</v>
      </c>
      <c r="J39" s="14" t="s">
        <v>79</v>
      </c>
    </row>
    <row r="40">
      <c r="A40" s="17" t="s">
        <v>101</v>
      </c>
      <c r="B40" s="17" t="s">
        <v>33</v>
      </c>
      <c r="C40" s="17" t="s">
        <v>102</v>
      </c>
      <c r="D40" s="17">
        <v>180.0</v>
      </c>
      <c r="E40" s="17" t="s">
        <v>82</v>
      </c>
      <c r="F40" s="17" t="s">
        <v>83</v>
      </c>
      <c r="G40" s="17">
        <v>200.0</v>
      </c>
      <c r="H40" s="17">
        <f t="shared" ref="H40:H44" si="2">IF(F40="Zero", IF(D40=0, 100, MAX(0, 100 - (D40 * 20))), IF(D40&lt;=G40, 100, MAX(0, 100 - ((D40 - G40) * 0.1))))</f>
        <v>100</v>
      </c>
      <c r="I40" s="17" t="s">
        <v>84</v>
      </c>
      <c r="J40" s="17" t="s">
        <v>89</v>
      </c>
    </row>
    <row r="41">
      <c r="A41" s="17" t="s">
        <v>103</v>
      </c>
      <c r="B41" s="17" t="s">
        <v>33</v>
      </c>
      <c r="C41" s="17" t="s">
        <v>104</v>
      </c>
      <c r="D41" s="17">
        <v>0.0</v>
      </c>
      <c r="E41" s="17" t="s">
        <v>105</v>
      </c>
      <c r="F41" s="17" t="s">
        <v>106</v>
      </c>
      <c r="G41" s="17">
        <v>0.0</v>
      </c>
      <c r="H41" s="17">
        <f t="shared" si="2"/>
        <v>100</v>
      </c>
      <c r="I41" s="17">
        <v>0.0</v>
      </c>
      <c r="J41" s="17" t="s">
        <v>89</v>
      </c>
    </row>
    <row r="42">
      <c r="A42" s="17" t="s">
        <v>107</v>
      </c>
      <c r="B42" s="17" t="s">
        <v>33</v>
      </c>
      <c r="C42" s="17" t="s">
        <v>108</v>
      </c>
      <c r="D42" s="17">
        <v>45.0</v>
      </c>
      <c r="E42" s="17" t="s">
        <v>82</v>
      </c>
      <c r="F42" s="17" t="s">
        <v>83</v>
      </c>
      <c r="G42" s="17">
        <v>200.0</v>
      </c>
      <c r="H42" s="17">
        <f t="shared" si="2"/>
        <v>100</v>
      </c>
      <c r="I42" s="17" t="s">
        <v>84</v>
      </c>
      <c r="J42" s="17" t="s">
        <v>89</v>
      </c>
    </row>
    <row r="43">
      <c r="A43" s="17" t="s">
        <v>109</v>
      </c>
      <c r="B43" s="17" t="s">
        <v>33</v>
      </c>
      <c r="C43" s="17" t="s">
        <v>110</v>
      </c>
      <c r="D43" s="17">
        <v>85.0</v>
      </c>
      <c r="E43" s="17" t="s">
        <v>82</v>
      </c>
      <c r="F43" s="17" t="s">
        <v>83</v>
      </c>
      <c r="G43" s="17">
        <v>100.0</v>
      </c>
      <c r="H43" s="17">
        <f t="shared" si="2"/>
        <v>100</v>
      </c>
      <c r="I43" s="17" t="s">
        <v>99</v>
      </c>
      <c r="J43" s="17" t="s">
        <v>89</v>
      </c>
    </row>
    <row r="44">
      <c r="A44" s="17" t="s">
        <v>111</v>
      </c>
      <c r="B44" s="17" t="s">
        <v>33</v>
      </c>
      <c r="C44" s="17" t="s">
        <v>112</v>
      </c>
      <c r="D44" s="17">
        <v>60.0</v>
      </c>
      <c r="E44" s="17" t="s">
        <v>82</v>
      </c>
      <c r="F44" s="17" t="s">
        <v>83</v>
      </c>
      <c r="G44" s="17">
        <v>100.0</v>
      </c>
      <c r="H44" s="17">
        <f t="shared" si="2"/>
        <v>100</v>
      </c>
      <c r="I44" s="17" t="s">
        <v>99</v>
      </c>
      <c r="J44" s="17" t="s">
        <v>89</v>
      </c>
    </row>
    <row r="47">
      <c r="A47" s="12" t="s">
        <v>113</v>
      </c>
    </row>
    <row r="49">
      <c r="A49" s="14" t="s">
        <v>72</v>
      </c>
      <c r="B49" s="14" t="s">
        <v>23</v>
      </c>
      <c r="C49" s="14" t="s">
        <v>73</v>
      </c>
      <c r="D49" s="14" t="s">
        <v>74</v>
      </c>
      <c r="E49" s="14" t="s">
        <v>75</v>
      </c>
      <c r="F49" s="14" t="s">
        <v>76</v>
      </c>
      <c r="G49" s="14" t="s">
        <v>77</v>
      </c>
      <c r="H49" s="14" t="s">
        <v>4</v>
      </c>
      <c r="I49" s="14" t="s">
        <v>78</v>
      </c>
      <c r="J49" s="14" t="s">
        <v>79</v>
      </c>
    </row>
    <row r="50">
      <c r="A50" s="17" t="s">
        <v>114</v>
      </c>
      <c r="B50" s="17" t="s">
        <v>41</v>
      </c>
      <c r="C50" s="17" t="s">
        <v>115</v>
      </c>
      <c r="D50" s="17">
        <v>0.0</v>
      </c>
      <c r="E50" s="17" t="s">
        <v>105</v>
      </c>
      <c r="F50" s="17" t="s">
        <v>106</v>
      </c>
      <c r="G50" s="17">
        <v>0.0</v>
      </c>
      <c r="H50" s="17">
        <f t="shared" ref="H50:H54" si="3">IF(D50=0, 100, MAX(0, 100 - (D50 * 20)))</f>
        <v>100</v>
      </c>
      <c r="I50" s="17">
        <v>0.0</v>
      </c>
      <c r="J50" s="17" t="s">
        <v>89</v>
      </c>
    </row>
    <row r="51">
      <c r="A51" s="17" t="s">
        <v>116</v>
      </c>
      <c r="B51" s="17" t="s">
        <v>41</v>
      </c>
      <c r="C51" s="17" t="s">
        <v>117</v>
      </c>
      <c r="D51" s="17">
        <v>0.0</v>
      </c>
      <c r="E51" s="17" t="s">
        <v>105</v>
      </c>
      <c r="F51" s="17" t="s">
        <v>106</v>
      </c>
      <c r="G51" s="17">
        <v>0.0</v>
      </c>
      <c r="H51" s="17">
        <f t="shared" si="3"/>
        <v>100</v>
      </c>
      <c r="I51" s="17">
        <v>0.0</v>
      </c>
      <c r="J51" s="17" t="s">
        <v>89</v>
      </c>
    </row>
    <row r="52">
      <c r="A52" s="17" t="s">
        <v>118</v>
      </c>
      <c r="B52" s="17" t="s">
        <v>41</v>
      </c>
      <c r="C52" s="17" t="s">
        <v>119</v>
      </c>
      <c r="D52" s="17">
        <v>0.0</v>
      </c>
      <c r="E52" s="17" t="s">
        <v>105</v>
      </c>
      <c r="F52" s="17" t="s">
        <v>106</v>
      </c>
      <c r="G52" s="17">
        <v>0.0</v>
      </c>
      <c r="H52" s="17">
        <f t="shared" si="3"/>
        <v>100</v>
      </c>
      <c r="I52" s="17">
        <v>0.0</v>
      </c>
      <c r="J52" s="17" t="s">
        <v>89</v>
      </c>
    </row>
    <row r="53">
      <c r="A53" s="17" t="s">
        <v>120</v>
      </c>
      <c r="B53" s="17" t="s">
        <v>41</v>
      </c>
      <c r="C53" s="17" t="s">
        <v>121</v>
      </c>
      <c r="D53" s="17">
        <v>0.0</v>
      </c>
      <c r="E53" s="17" t="s">
        <v>105</v>
      </c>
      <c r="F53" s="17" t="s">
        <v>106</v>
      </c>
      <c r="G53" s="17">
        <v>0.0</v>
      </c>
      <c r="H53" s="17">
        <f t="shared" si="3"/>
        <v>100</v>
      </c>
      <c r="I53" s="17">
        <v>0.0</v>
      </c>
      <c r="J53" s="17" t="s">
        <v>89</v>
      </c>
    </row>
    <row r="54">
      <c r="A54" s="17" t="s">
        <v>122</v>
      </c>
      <c r="B54" s="17" t="s">
        <v>41</v>
      </c>
      <c r="C54" s="17" t="s">
        <v>123</v>
      </c>
      <c r="D54" s="17">
        <v>0.0</v>
      </c>
      <c r="E54" s="17" t="s">
        <v>105</v>
      </c>
      <c r="F54" s="17" t="s">
        <v>106</v>
      </c>
      <c r="G54" s="17">
        <v>0.0</v>
      </c>
      <c r="H54" s="17">
        <f t="shared" si="3"/>
        <v>100</v>
      </c>
      <c r="I54" s="17">
        <v>0.0</v>
      </c>
      <c r="J54" s="17" t="s">
        <v>89</v>
      </c>
    </row>
    <row r="57">
      <c r="A57" s="12" t="s">
        <v>124</v>
      </c>
    </row>
    <row r="59">
      <c r="A59" s="14" t="s">
        <v>72</v>
      </c>
      <c r="B59" s="14" t="s">
        <v>23</v>
      </c>
      <c r="C59" s="14" t="s">
        <v>73</v>
      </c>
      <c r="D59" s="14" t="s">
        <v>74</v>
      </c>
      <c r="E59" s="14" t="s">
        <v>75</v>
      </c>
      <c r="F59" s="14" t="s">
        <v>76</v>
      </c>
      <c r="G59" s="14" t="s">
        <v>77</v>
      </c>
      <c r="H59" s="14" t="s">
        <v>4</v>
      </c>
      <c r="I59" s="14" t="s">
        <v>78</v>
      </c>
      <c r="J59" s="14" t="s">
        <v>79</v>
      </c>
    </row>
    <row r="60">
      <c r="A60" s="17" t="s">
        <v>125</v>
      </c>
      <c r="B60" s="17" t="s">
        <v>49</v>
      </c>
      <c r="C60" s="17" t="s">
        <v>126</v>
      </c>
      <c r="D60" s="17">
        <v>25.0</v>
      </c>
      <c r="E60" s="17" t="s">
        <v>82</v>
      </c>
      <c r="F60" s="17" t="s">
        <v>83</v>
      </c>
      <c r="G60" s="17">
        <v>50.0</v>
      </c>
      <c r="H60" s="17">
        <f t="shared" ref="H60:H65" si="4">IF(D60&lt;=G60, 100, MAX(0, 100 - ((D60 - G60) * 0.05)))</f>
        <v>100</v>
      </c>
      <c r="I60" s="17" t="s">
        <v>127</v>
      </c>
      <c r="J60" s="17" t="s">
        <v>89</v>
      </c>
    </row>
    <row r="61">
      <c r="A61" s="17" t="s">
        <v>128</v>
      </c>
      <c r="B61" s="17" t="s">
        <v>49</v>
      </c>
      <c r="C61" s="17" t="s">
        <v>129</v>
      </c>
      <c r="D61" s="17">
        <v>45.0</v>
      </c>
      <c r="E61" s="17" t="s">
        <v>82</v>
      </c>
      <c r="F61" s="17" t="s">
        <v>83</v>
      </c>
      <c r="G61" s="17">
        <v>100.0</v>
      </c>
      <c r="H61" s="17">
        <f t="shared" si="4"/>
        <v>100</v>
      </c>
      <c r="I61" s="17" t="s">
        <v>99</v>
      </c>
      <c r="J61" s="17" t="s">
        <v>89</v>
      </c>
    </row>
    <row r="62">
      <c r="A62" s="17" t="s">
        <v>130</v>
      </c>
      <c r="B62" s="17" t="s">
        <v>49</v>
      </c>
      <c r="C62" s="17" t="s">
        <v>131</v>
      </c>
      <c r="D62" s="17">
        <v>60.0</v>
      </c>
      <c r="E62" s="17" t="s">
        <v>82</v>
      </c>
      <c r="F62" s="17" t="s">
        <v>83</v>
      </c>
      <c r="G62" s="17">
        <v>100.0</v>
      </c>
      <c r="H62" s="17">
        <f t="shared" si="4"/>
        <v>100</v>
      </c>
      <c r="I62" s="17" t="s">
        <v>99</v>
      </c>
      <c r="J62" s="17" t="s">
        <v>89</v>
      </c>
    </row>
    <row r="63">
      <c r="A63" s="17" t="s">
        <v>132</v>
      </c>
      <c r="B63" s="17" t="s">
        <v>49</v>
      </c>
      <c r="C63" s="17" t="s">
        <v>81</v>
      </c>
      <c r="D63" s="17">
        <v>1200.0</v>
      </c>
      <c r="E63" s="17" t="s">
        <v>82</v>
      </c>
      <c r="F63" s="17" t="s">
        <v>83</v>
      </c>
      <c r="G63" s="17">
        <v>200.0</v>
      </c>
      <c r="H63" s="17">
        <f t="shared" si="4"/>
        <v>50</v>
      </c>
      <c r="I63" s="17" t="s">
        <v>84</v>
      </c>
      <c r="J63" s="17" t="s">
        <v>89</v>
      </c>
    </row>
    <row r="64">
      <c r="A64" s="17" t="s">
        <v>133</v>
      </c>
      <c r="B64" s="17" t="s">
        <v>49</v>
      </c>
      <c r="C64" s="17" t="s">
        <v>134</v>
      </c>
      <c r="D64" s="17">
        <v>140.0</v>
      </c>
      <c r="E64" s="17" t="s">
        <v>82</v>
      </c>
      <c r="F64" s="17" t="s">
        <v>83</v>
      </c>
      <c r="G64" s="17">
        <v>200.0</v>
      </c>
      <c r="H64" s="17">
        <f t="shared" si="4"/>
        <v>100</v>
      </c>
      <c r="I64" s="17" t="s">
        <v>84</v>
      </c>
      <c r="J64" s="17" t="s">
        <v>89</v>
      </c>
    </row>
    <row r="65">
      <c r="A65" s="17" t="s">
        <v>135</v>
      </c>
      <c r="B65" s="17" t="s">
        <v>49</v>
      </c>
      <c r="C65" s="17" t="s">
        <v>136</v>
      </c>
      <c r="D65" s="17">
        <v>1600.0</v>
      </c>
      <c r="E65" s="17" t="s">
        <v>82</v>
      </c>
      <c r="F65" s="17" t="s">
        <v>83</v>
      </c>
      <c r="G65" s="17">
        <v>500.0</v>
      </c>
      <c r="H65" s="17">
        <f t="shared" si="4"/>
        <v>45</v>
      </c>
      <c r="I65" s="17" t="s">
        <v>94</v>
      </c>
      <c r="J65" s="17" t="s">
        <v>89</v>
      </c>
    </row>
    <row r="68">
      <c r="A68" s="12" t="s">
        <v>137</v>
      </c>
    </row>
    <row r="70">
      <c r="A70" s="24" t="s">
        <v>72</v>
      </c>
      <c r="B70" s="24" t="s">
        <v>23</v>
      </c>
      <c r="C70" s="24" t="s">
        <v>73</v>
      </c>
      <c r="D70" s="24" t="s">
        <v>74</v>
      </c>
      <c r="E70" s="24" t="s">
        <v>75</v>
      </c>
      <c r="F70" s="24" t="s">
        <v>76</v>
      </c>
      <c r="G70" s="24" t="s">
        <v>77</v>
      </c>
      <c r="H70" s="24" t="s">
        <v>4</v>
      </c>
      <c r="I70" s="24" t="s">
        <v>78</v>
      </c>
      <c r="J70" s="24" t="s">
        <v>79</v>
      </c>
    </row>
    <row r="71">
      <c r="A71" s="17" t="s">
        <v>138</v>
      </c>
      <c r="B71" s="17" t="s">
        <v>57</v>
      </c>
      <c r="C71" s="17" t="s">
        <v>139</v>
      </c>
      <c r="D71" s="17">
        <v>750.0</v>
      </c>
      <c r="E71" s="17" t="s">
        <v>82</v>
      </c>
      <c r="F71" s="17" t="s">
        <v>83</v>
      </c>
      <c r="G71" s="17">
        <v>800.0</v>
      </c>
      <c r="H71" s="17">
        <f t="shared" ref="H71:H75" si="5">IF(D71&lt;=G71, 100, MAX(0, 100 - ((D71 - G71) * 0.05)))</f>
        <v>100</v>
      </c>
      <c r="I71" s="17" t="s">
        <v>140</v>
      </c>
      <c r="J71" s="17" t="s">
        <v>89</v>
      </c>
    </row>
    <row r="72">
      <c r="A72" s="17" t="s">
        <v>141</v>
      </c>
      <c r="B72" s="17" t="s">
        <v>57</v>
      </c>
      <c r="C72" s="17" t="s">
        <v>142</v>
      </c>
      <c r="D72" s="17">
        <v>140.0</v>
      </c>
      <c r="E72" s="17" t="s">
        <v>82</v>
      </c>
      <c r="F72" s="17" t="s">
        <v>83</v>
      </c>
      <c r="G72" s="17">
        <v>200.0</v>
      </c>
      <c r="H72" s="17">
        <f t="shared" si="5"/>
        <v>100</v>
      </c>
      <c r="I72" s="17" t="s">
        <v>84</v>
      </c>
      <c r="J72" s="17" t="s">
        <v>89</v>
      </c>
    </row>
    <row r="73">
      <c r="A73" s="17" t="s">
        <v>143</v>
      </c>
      <c r="B73" s="17" t="s">
        <v>57</v>
      </c>
      <c r="C73" s="17" t="s">
        <v>144</v>
      </c>
      <c r="D73" s="17">
        <v>220.0</v>
      </c>
      <c r="E73" s="17" t="s">
        <v>82</v>
      </c>
      <c r="F73" s="17" t="s">
        <v>83</v>
      </c>
      <c r="G73" s="17">
        <v>300.0</v>
      </c>
      <c r="H73" s="17">
        <f t="shared" si="5"/>
        <v>100</v>
      </c>
      <c r="I73" s="17" t="s">
        <v>88</v>
      </c>
      <c r="J73" s="17" t="s">
        <v>89</v>
      </c>
    </row>
    <row r="74">
      <c r="A74" s="17" t="s">
        <v>145</v>
      </c>
      <c r="B74" s="17" t="s">
        <v>57</v>
      </c>
      <c r="C74" s="17" t="s">
        <v>146</v>
      </c>
      <c r="D74" s="17">
        <v>160.0</v>
      </c>
      <c r="E74" s="17" t="s">
        <v>82</v>
      </c>
      <c r="F74" s="17" t="s">
        <v>83</v>
      </c>
      <c r="G74" s="17">
        <v>200.0</v>
      </c>
      <c r="H74" s="17">
        <f t="shared" si="5"/>
        <v>100</v>
      </c>
      <c r="I74" s="17" t="s">
        <v>84</v>
      </c>
      <c r="J74" s="17" t="s">
        <v>89</v>
      </c>
    </row>
    <row r="75">
      <c r="A75" s="17" t="s">
        <v>147</v>
      </c>
      <c r="B75" s="17" t="s">
        <v>57</v>
      </c>
      <c r="C75" s="17" t="s">
        <v>148</v>
      </c>
      <c r="D75" s="17">
        <v>1950.0</v>
      </c>
      <c r="E75" s="17" t="s">
        <v>82</v>
      </c>
      <c r="F75" s="17" t="s">
        <v>83</v>
      </c>
      <c r="G75" s="17">
        <v>2000.0</v>
      </c>
      <c r="H75" s="17">
        <f t="shared" si="5"/>
        <v>100</v>
      </c>
      <c r="I75" s="17" t="s">
        <v>149</v>
      </c>
      <c r="J75" s="17" t="s">
        <v>89</v>
      </c>
    </row>
    <row r="78">
      <c r="A78" s="12" t="s">
        <v>150</v>
      </c>
    </row>
    <row r="80">
      <c r="A80" s="14" t="s">
        <v>72</v>
      </c>
      <c r="B80" s="14" t="s">
        <v>23</v>
      </c>
      <c r="C80" s="14" t="s">
        <v>73</v>
      </c>
      <c r="D80" s="14" t="s">
        <v>74</v>
      </c>
      <c r="E80" s="14" t="s">
        <v>75</v>
      </c>
      <c r="F80" s="14" t="s">
        <v>76</v>
      </c>
      <c r="G80" s="14" t="s">
        <v>77</v>
      </c>
      <c r="H80" s="14" t="s">
        <v>4</v>
      </c>
      <c r="I80" s="14" t="s">
        <v>78</v>
      </c>
      <c r="J80" s="14" t="s">
        <v>79</v>
      </c>
    </row>
    <row r="81">
      <c r="A81" s="17" t="s">
        <v>151</v>
      </c>
      <c r="B81" s="17" t="s">
        <v>27</v>
      </c>
      <c r="C81" s="17" t="s">
        <v>152</v>
      </c>
      <c r="D81" s="17">
        <v>3.8</v>
      </c>
      <c r="E81" s="17" t="s">
        <v>153</v>
      </c>
      <c r="F81" s="17" t="s">
        <v>154</v>
      </c>
      <c r="G81" s="17">
        <v>4.5</v>
      </c>
      <c r="H81" s="17">
        <f>IF(D81&gt;=G81, 100, MAX(0, 100 - ((G81 - D81) * 50)))</f>
        <v>65</v>
      </c>
      <c r="I81" s="17" t="s">
        <v>155</v>
      </c>
      <c r="J81" s="17" t="s">
        <v>85</v>
      </c>
    </row>
    <row r="82">
      <c r="A82" s="17" t="s">
        <v>156</v>
      </c>
      <c r="B82" s="17" t="s">
        <v>27</v>
      </c>
      <c r="C82" s="17" t="s">
        <v>157</v>
      </c>
      <c r="D82" s="17">
        <v>2.6</v>
      </c>
      <c r="E82" s="17" t="s">
        <v>153</v>
      </c>
      <c r="F82" s="17" t="s">
        <v>154</v>
      </c>
      <c r="G82" s="17">
        <v>3.0</v>
      </c>
      <c r="H82" s="17">
        <f>IF(D82&gt;=G82, 100, MAX(0, 100 - ((G82 - D82) * 75)))</f>
        <v>70</v>
      </c>
      <c r="I82" s="17" t="s">
        <v>158</v>
      </c>
      <c r="J82" s="17" t="s">
        <v>85</v>
      </c>
    </row>
    <row r="83">
      <c r="A83" s="17" t="s">
        <v>159</v>
      </c>
      <c r="B83" s="17" t="s">
        <v>27</v>
      </c>
      <c r="C83" s="17" t="s">
        <v>160</v>
      </c>
      <c r="D83" s="17">
        <v>4.0</v>
      </c>
      <c r="E83" s="17" t="s">
        <v>105</v>
      </c>
      <c r="F83" s="17" t="s">
        <v>106</v>
      </c>
      <c r="G83" s="17">
        <v>0.0</v>
      </c>
      <c r="H83" s="17">
        <f t="shared" ref="H83:H84" si="6">IF(D83=0, 100, MAX(0, 100 - (D83 * 7)))</f>
        <v>72</v>
      </c>
      <c r="I83" s="17">
        <v>0.0</v>
      </c>
      <c r="J83" s="17" t="s">
        <v>85</v>
      </c>
    </row>
    <row r="84">
      <c r="A84" s="17" t="s">
        <v>161</v>
      </c>
      <c r="B84" s="17" t="s">
        <v>27</v>
      </c>
      <c r="C84" s="17" t="s">
        <v>162</v>
      </c>
      <c r="D84" s="17">
        <v>6.0</v>
      </c>
      <c r="E84" s="17" t="s">
        <v>105</v>
      </c>
      <c r="F84" s="17" t="s">
        <v>106</v>
      </c>
      <c r="G84" s="17">
        <v>0.0</v>
      </c>
      <c r="H84" s="17">
        <f t="shared" si="6"/>
        <v>58</v>
      </c>
      <c r="I84" s="17">
        <v>0.0</v>
      </c>
      <c r="J84" s="17" t="s">
        <v>85</v>
      </c>
    </row>
    <row r="87">
      <c r="A87" s="12" t="s">
        <v>163</v>
      </c>
    </row>
    <row r="89">
      <c r="A89" s="14" t="s">
        <v>72</v>
      </c>
      <c r="B89" s="14" t="s">
        <v>23</v>
      </c>
      <c r="C89" s="14" t="s">
        <v>73</v>
      </c>
      <c r="D89" s="14" t="s">
        <v>74</v>
      </c>
      <c r="E89" s="14" t="s">
        <v>75</v>
      </c>
      <c r="F89" s="14" t="s">
        <v>76</v>
      </c>
      <c r="G89" s="14" t="s">
        <v>77</v>
      </c>
      <c r="H89" s="14" t="s">
        <v>4</v>
      </c>
      <c r="I89" s="14" t="s">
        <v>78</v>
      </c>
      <c r="J89" s="14" t="s">
        <v>79</v>
      </c>
    </row>
    <row r="90">
      <c r="A90" s="17" t="s">
        <v>164</v>
      </c>
      <c r="B90" s="17" t="s">
        <v>35</v>
      </c>
      <c r="C90" s="17" t="s">
        <v>165</v>
      </c>
      <c r="D90" s="17">
        <v>4.0</v>
      </c>
      <c r="E90" s="17" t="s">
        <v>105</v>
      </c>
      <c r="F90" s="17" t="s">
        <v>106</v>
      </c>
      <c r="G90" s="17">
        <v>0.0</v>
      </c>
      <c r="H90" s="17">
        <f t="shared" ref="H90:H91" si="7">IF(D90=0, 100, MAX(0, 100 - (D90 * 6.25)))</f>
        <v>75</v>
      </c>
      <c r="I90" s="17">
        <v>0.0</v>
      </c>
      <c r="J90" s="17" t="s">
        <v>85</v>
      </c>
    </row>
    <row r="91">
      <c r="A91" s="17" t="s">
        <v>166</v>
      </c>
      <c r="B91" s="17" t="s">
        <v>35</v>
      </c>
      <c r="C91" s="17" t="s">
        <v>167</v>
      </c>
      <c r="D91" s="17">
        <v>3.0</v>
      </c>
      <c r="E91" s="17" t="s">
        <v>105</v>
      </c>
      <c r="F91" s="17" t="s">
        <v>106</v>
      </c>
      <c r="G91" s="17">
        <v>0.0</v>
      </c>
      <c r="H91" s="17">
        <f t="shared" si="7"/>
        <v>81.25</v>
      </c>
      <c r="I91" s="17">
        <v>0.0</v>
      </c>
      <c r="J91" s="17" t="s">
        <v>85</v>
      </c>
    </row>
    <row r="92">
      <c r="A92" s="17" t="s">
        <v>168</v>
      </c>
      <c r="B92" s="17" t="s">
        <v>35</v>
      </c>
      <c r="C92" s="17" t="s">
        <v>169</v>
      </c>
      <c r="D92" s="17">
        <v>42.0</v>
      </c>
      <c r="E92" s="17" t="s">
        <v>105</v>
      </c>
      <c r="F92" s="17" t="s">
        <v>170</v>
      </c>
      <c r="G92" s="17" t="s">
        <v>171</v>
      </c>
      <c r="H92" s="17">
        <f t="shared" ref="H92:H93" si="8">IF(F92="Reference", 100, "")</f>
        <v>100</v>
      </c>
      <c r="I92" s="17" t="s">
        <v>171</v>
      </c>
      <c r="J92" s="17" t="s">
        <v>89</v>
      </c>
    </row>
    <row r="93">
      <c r="A93" s="17" t="s">
        <v>172</v>
      </c>
      <c r="B93" s="17" t="s">
        <v>35</v>
      </c>
      <c r="C93" s="17" t="s">
        <v>173</v>
      </c>
      <c r="D93" s="17">
        <v>115.0</v>
      </c>
      <c r="E93" s="17" t="s">
        <v>105</v>
      </c>
      <c r="F93" s="17" t="s">
        <v>170</v>
      </c>
      <c r="G93" s="17" t="s">
        <v>171</v>
      </c>
      <c r="H93" s="17">
        <f t="shared" si="8"/>
        <v>100</v>
      </c>
      <c r="I93" s="17" t="s">
        <v>171</v>
      </c>
      <c r="J93" s="17" t="s">
        <v>89</v>
      </c>
    </row>
    <row r="96">
      <c r="A96" s="12" t="s">
        <v>174</v>
      </c>
    </row>
    <row r="98">
      <c r="A98" s="14" t="s">
        <v>72</v>
      </c>
      <c r="B98" s="14" t="s">
        <v>23</v>
      </c>
      <c r="C98" s="14" t="s">
        <v>73</v>
      </c>
      <c r="D98" s="14" t="s">
        <v>74</v>
      </c>
      <c r="E98" s="14" t="s">
        <v>75</v>
      </c>
      <c r="F98" s="14" t="s">
        <v>76</v>
      </c>
      <c r="G98" s="14" t="s">
        <v>77</v>
      </c>
      <c r="H98" s="14" t="s">
        <v>4</v>
      </c>
      <c r="I98" s="14" t="s">
        <v>78</v>
      </c>
      <c r="J98" s="14" t="s">
        <v>79</v>
      </c>
    </row>
    <row r="99">
      <c r="A99" s="17" t="s">
        <v>175</v>
      </c>
      <c r="B99" s="17" t="s">
        <v>43</v>
      </c>
      <c r="C99" s="17" t="s">
        <v>176</v>
      </c>
      <c r="D99" s="17">
        <v>3.0</v>
      </c>
      <c r="E99" s="17" t="s">
        <v>105</v>
      </c>
      <c r="F99" s="17" t="s">
        <v>106</v>
      </c>
      <c r="G99" s="17">
        <v>0.0</v>
      </c>
      <c r="H99" s="17">
        <f t="shared" ref="H99:H100" si="9">IF(D99=0, 100, MAX(0, 100 - (D99 * 10)))</f>
        <v>70</v>
      </c>
      <c r="I99" s="17">
        <v>0.0</v>
      </c>
      <c r="J99" s="17" t="s">
        <v>85</v>
      </c>
    </row>
    <row r="100">
      <c r="A100" s="17" t="s">
        <v>177</v>
      </c>
      <c r="B100" s="17" t="s">
        <v>43</v>
      </c>
      <c r="C100" s="17" t="s">
        <v>178</v>
      </c>
      <c r="D100" s="17">
        <v>5.0</v>
      </c>
      <c r="E100" s="17" t="s">
        <v>105</v>
      </c>
      <c r="F100" s="17" t="s">
        <v>106</v>
      </c>
      <c r="G100" s="17">
        <v>0.0</v>
      </c>
      <c r="H100" s="17">
        <f t="shared" si="9"/>
        <v>50</v>
      </c>
      <c r="I100" s="17">
        <v>0.0</v>
      </c>
      <c r="J100" s="17" t="s">
        <v>85</v>
      </c>
    </row>
    <row r="101">
      <c r="A101" s="17" t="s">
        <v>179</v>
      </c>
      <c r="B101" s="17" t="s">
        <v>43</v>
      </c>
      <c r="C101" s="17" t="s">
        <v>180</v>
      </c>
      <c r="D101" s="17">
        <v>8.0</v>
      </c>
      <c r="E101" s="17" t="s">
        <v>105</v>
      </c>
      <c r="F101" s="17" t="s">
        <v>170</v>
      </c>
      <c r="G101" s="17" t="s">
        <v>171</v>
      </c>
      <c r="H101" s="17">
        <f t="shared" ref="H101:H102" si="10">IF(F101="Reference", 100, "")</f>
        <v>100</v>
      </c>
      <c r="I101" s="17" t="s">
        <v>171</v>
      </c>
      <c r="J101" s="17" t="s">
        <v>89</v>
      </c>
    </row>
    <row r="102">
      <c r="A102" s="17" t="s">
        <v>181</v>
      </c>
      <c r="B102" s="17" t="s">
        <v>43</v>
      </c>
      <c r="C102" s="17" t="s">
        <v>182</v>
      </c>
      <c r="D102" s="17">
        <v>22.0</v>
      </c>
      <c r="E102" s="17" t="s">
        <v>105</v>
      </c>
      <c r="F102" s="17" t="s">
        <v>170</v>
      </c>
      <c r="G102" s="17" t="s">
        <v>171</v>
      </c>
      <c r="H102" s="17">
        <f t="shared" si="10"/>
        <v>100</v>
      </c>
      <c r="I102" s="17" t="s">
        <v>171</v>
      </c>
      <c r="J102" s="17" t="s">
        <v>89</v>
      </c>
    </row>
    <row r="105">
      <c r="A105" s="12" t="s">
        <v>183</v>
      </c>
    </row>
    <row r="107">
      <c r="A107" s="14" t="s">
        <v>72</v>
      </c>
      <c r="B107" s="14" t="s">
        <v>23</v>
      </c>
      <c r="C107" s="14" t="s">
        <v>73</v>
      </c>
      <c r="D107" s="14" t="s">
        <v>74</v>
      </c>
      <c r="E107" s="14" t="s">
        <v>75</v>
      </c>
      <c r="F107" s="14" t="s">
        <v>76</v>
      </c>
      <c r="G107" s="14" t="s">
        <v>77</v>
      </c>
      <c r="H107" s="14" t="s">
        <v>4</v>
      </c>
      <c r="I107" s="14" t="s">
        <v>78</v>
      </c>
      <c r="J107" s="14" t="s">
        <v>79</v>
      </c>
    </row>
    <row r="108">
      <c r="A108" s="17" t="s">
        <v>184</v>
      </c>
      <c r="B108" s="17" t="s">
        <v>51</v>
      </c>
      <c r="C108" s="17" t="s">
        <v>185</v>
      </c>
      <c r="D108" s="17">
        <v>0.0</v>
      </c>
      <c r="E108" s="17" t="s">
        <v>105</v>
      </c>
      <c r="F108" s="17" t="s">
        <v>106</v>
      </c>
      <c r="G108" s="17">
        <v>0.0</v>
      </c>
      <c r="H108" s="17">
        <f t="shared" ref="H108:H110" si="11">IF(D108=0, 100, MAX(0, 100 - (D108 * 6.33)))</f>
        <v>100</v>
      </c>
      <c r="I108" s="17">
        <v>0.0</v>
      </c>
      <c r="J108" s="17" t="s">
        <v>89</v>
      </c>
    </row>
    <row r="109">
      <c r="A109" s="17" t="s">
        <v>186</v>
      </c>
      <c r="B109" s="17" t="s">
        <v>51</v>
      </c>
      <c r="C109" s="17" t="s">
        <v>187</v>
      </c>
      <c r="D109" s="17">
        <v>4.0</v>
      </c>
      <c r="E109" s="17" t="s">
        <v>105</v>
      </c>
      <c r="F109" s="17" t="s">
        <v>106</v>
      </c>
      <c r="G109" s="17">
        <v>0.0</v>
      </c>
      <c r="H109" s="17">
        <f t="shared" si="11"/>
        <v>74.68</v>
      </c>
      <c r="I109" s="17">
        <v>0.0</v>
      </c>
      <c r="J109" s="17" t="s">
        <v>85</v>
      </c>
    </row>
    <row r="110">
      <c r="A110" s="17" t="s">
        <v>188</v>
      </c>
      <c r="B110" s="17" t="s">
        <v>51</v>
      </c>
      <c r="C110" s="17" t="s">
        <v>189</v>
      </c>
      <c r="D110" s="17">
        <v>3.0</v>
      </c>
      <c r="E110" s="17" t="s">
        <v>105</v>
      </c>
      <c r="F110" s="17" t="s">
        <v>106</v>
      </c>
      <c r="G110" s="17">
        <v>0.0</v>
      </c>
      <c r="H110" s="17">
        <f t="shared" si="11"/>
        <v>81.01</v>
      </c>
      <c r="I110" s="17">
        <v>0.0</v>
      </c>
      <c r="J110" s="17" t="s">
        <v>85</v>
      </c>
    </row>
    <row r="111">
      <c r="A111" s="17" t="s">
        <v>190</v>
      </c>
      <c r="B111" s="17" t="s">
        <v>51</v>
      </c>
      <c r="C111" s="17" t="s">
        <v>191</v>
      </c>
      <c r="D111" s="17">
        <v>142.0</v>
      </c>
      <c r="E111" s="17" t="s">
        <v>105</v>
      </c>
      <c r="F111" s="17" t="s">
        <v>170</v>
      </c>
      <c r="G111" s="17" t="s">
        <v>171</v>
      </c>
      <c r="H111" s="17">
        <f>IF(F111="Reference", 100, "")</f>
        <v>100</v>
      </c>
      <c r="I111" s="17" t="s">
        <v>171</v>
      </c>
      <c r="J111" s="17" t="s">
        <v>89</v>
      </c>
    </row>
    <row r="114">
      <c r="A114" s="12" t="s">
        <v>192</v>
      </c>
    </row>
    <row r="116">
      <c r="A116" s="16" t="s">
        <v>72</v>
      </c>
      <c r="B116" s="16" t="s">
        <v>23</v>
      </c>
      <c r="C116" s="16" t="s">
        <v>73</v>
      </c>
      <c r="D116" s="16" t="s">
        <v>74</v>
      </c>
      <c r="E116" s="16" t="s">
        <v>75</v>
      </c>
      <c r="F116" s="16" t="s">
        <v>76</v>
      </c>
      <c r="G116" s="16" t="s">
        <v>77</v>
      </c>
      <c r="H116" s="16" t="s">
        <v>4</v>
      </c>
      <c r="I116" s="16" t="s">
        <v>78</v>
      </c>
      <c r="J116" s="16" t="s">
        <v>79</v>
      </c>
    </row>
    <row r="117">
      <c r="A117" s="17" t="s">
        <v>193</v>
      </c>
      <c r="B117" s="17" t="s">
        <v>59</v>
      </c>
      <c r="C117" s="17" t="s">
        <v>194</v>
      </c>
      <c r="D117" s="17">
        <v>5.0</v>
      </c>
      <c r="E117" s="17" t="s">
        <v>105</v>
      </c>
      <c r="F117" s="17" t="s">
        <v>106</v>
      </c>
      <c r="G117" s="17">
        <v>0.0</v>
      </c>
      <c r="H117" s="17">
        <f t="shared" ref="H117:H120" si="12">IF(D117=0, 100, MAX(0, 100 - (D117 * 6.4)))</f>
        <v>68</v>
      </c>
      <c r="I117" s="17">
        <v>0.0</v>
      </c>
      <c r="J117" s="17" t="s">
        <v>85</v>
      </c>
    </row>
    <row r="118">
      <c r="A118" s="17" t="s">
        <v>195</v>
      </c>
      <c r="B118" s="17" t="s">
        <v>59</v>
      </c>
      <c r="C118" s="17" t="s">
        <v>196</v>
      </c>
      <c r="D118" s="17">
        <v>2.0</v>
      </c>
      <c r="E118" s="17" t="s">
        <v>105</v>
      </c>
      <c r="F118" s="17" t="s">
        <v>106</v>
      </c>
      <c r="G118" s="17">
        <v>0.0</v>
      </c>
      <c r="H118" s="17">
        <f t="shared" si="12"/>
        <v>87.2</v>
      </c>
      <c r="I118" s="17">
        <v>0.0</v>
      </c>
      <c r="J118" s="17" t="s">
        <v>85</v>
      </c>
    </row>
    <row r="119">
      <c r="A119" s="17" t="s">
        <v>197</v>
      </c>
      <c r="B119" s="17" t="s">
        <v>59</v>
      </c>
      <c r="C119" s="17" t="s">
        <v>198</v>
      </c>
      <c r="D119" s="17">
        <v>4.0</v>
      </c>
      <c r="E119" s="17" t="s">
        <v>105</v>
      </c>
      <c r="F119" s="17" t="s">
        <v>106</v>
      </c>
      <c r="G119" s="17">
        <v>0.0</v>
      </c>
      <c r="H119" s="17">
        <f t="shared" si="12"/>
        <v>74.4</v>
      </c>
      <c r="I119" s="17">
        <v>0.0</v>
      </c>
      <c r="J119" s="17" t="s">
        <v>85</v>
      </c>
    </row>
    <row r="120">
      <c r="A120" s="17" t="s">
        <v>199</v>
      </c>
      <c r="B120" s="17" t="s">
        <v>59</v>
      </c>
      <c r="C120" s="17" t="s">
        <v>200</v>
      </c>
      <c r="D120" s="17">
        <v>1.0</v>
      </c>
      <c r="E120" s="17" t="s">
        <v>105</v>
      </c>
      <c r="F120" s="17" t="s">
        <v>106</v>
      </c>
      <c r="G120" s="17">
        <v>0.0</v>
      </c>
      <c r="H120" s="17">
        <f t="shared" si="12"/>
        <v>93.6</v>
      </c>
      <c r="I120" s="17">
        <v>0.0</v>
      </c>
      <c r="J120" s="17" t="s">
        <v>85</v>
      </c>
    </row>
    <row r="123">
      <c r="A123" s="12" t="s">
        <v>201</v>
      </c>
    </row>
    <row r="125">
      <c r="A125" s="16" t="s">
        <v>72</v>
      </c>
      <c r="B125" s="16" t="s">
        <v>23</v>
      </c>
      <c r="C125" s="16" t="s">
        <v>73</v>
      </c>
      <c r="D125" s="16" t="s">
        <v>74</v>
      </c>
      <c r="E125" s="16" t="s">
        <v>75</v>
      </c>
      <c r="F125" s="16" t="s">
        <v>76</v>
      </c>
      <c r="G125" s="16" t="s">
        <v>77</v>
      </c>
      <c r="H125" s="16" t="s">
        <v>4</v>
      </c>
      <c r="I125" s="16" t="s">
        <v>78</v>
      </c>
      <c r="J125" s="16" t="s">
        <v>79</v>
      </c>
    </row>
    <row r="126">
      <c r="A126" s="17" t="s">
        <v>202</v>
      </c>
      <c r="B126" s="17" t="s">
        <v>65</v>
      </c>
      <c r="C126" s="17" t="s">
        <v>203</v>
      </c>
      <c r="D126" s="17">
        <v>1.0</v>
      </c>
      <c r="E126" s="17" t="s">
        <v>105</v>
      </c>
      <c r="F126" s="17" t="s">
        <v>106</v>
      </c>
      <c r="G126" s="17">
        <v>0.0</v>
      </c>
      <c r="H126" s="17">
        <f>IF(D126=0, 100, MAX(0, 100 - (D126 * 15)))</f>
        <v>85</v>
      </c>
      <c r="I126" s="17">
        <v>0.0</v>
      </c>
      <c r="J126" s="17" t="s">
        <v>85</v>
      </c>
    </row>
    <row r="127">
      <c r="A127" s="17" t="s">
        <v>204</v>
      </c>
      <c r="B127" s="17" t="s">
        <v>65</v>
      </c>
      <c r="C127" s="17" t="s">
        <v>205</v>
      </c>
      <c r="D127" s="17">
        <v>3.0</v>
      </c>
      <c r="E127" s="17" t="s">
        <v>105</v>
      </c>
      <c r="F127" s="17" t="s">
        <v>106</v>
      </c>
      <c r="G127" s="17">
        <v>0.0</v>
      </c>
      <c r="H127" s="17">
        <f>IF(D127=0, 100, MAX(0, 100 - (D127 * 10.33)))</f>
        <v>69.01</v>
      </c>
      <c r="I127" s="17">
        <v>0.0</v>
      </c>
      <c r="J127" s="17" t="s">
        <v>85</v>
      </c>
    </row>
    <row r="128">
      <c r="A128" s="17" t="s">
        <v>206</v>
      </c>
      <c r="B128" s="17" t="s">
        <v>65</v>
      </c>
      <c r="C128" s="17" t="s">
        <v>207</v>
      </c>
      <c r="D128" s="17">
        <v>1.0</v>
      </c>
      <c r="E128" s="17" t="s">
        <v>105</v>
      </c>
      <c r="F128" s="17" t="s">
        <v>170</v>
      </c>
      <c r="G128" s="17" t="s">
        <v>171</v>
      </c>
      <c r="H128" s="17">
        <f t="shared" ref="H128:H129" si="13">IF(F128="Reference", 100, "")</f>
        <v>100</v>
      </c>
      <c r="I128" s="17" t="s">
        <v>171</v>
      </c>
      <c r="J128" s="17" t="s">
        <v>89</v>
      </c>
    </row>
    <row r="129">
      <c r="A129" s="17" t="s">
        <v>208</v>
      </c>
      <c r="B129" s="17" t="s">
        <v>65</v>
      </c>
      <c r="C129" s="17" t="s">
        <v>209</v>
      </c>
      <c r="D129" s="17">
        <v>14.0</v>
      </c>
      <c r="E129" s="17" t="s">
        <v>105</v>
      </c>
      <c r="F129" s="17" t="s">
        <v>170</v>
      </c>
      <c r="G129" s="17" t="s">
        <v>171</v>
      </c>
      <c r="H129" s="17">
        <f t="shared" si="13"/>
        <v>100</v>
      </c>
      <c r="I129" s="17" t="s">
        <v>171</v>
      </c>
      <c r="J129" s="17" t="s">
        <v>89</v>
      </c>
    </row>
    <row r="132">
      <c r="A132" s="12" t="s">
        <v>210</v>
      </c>
    </row>
    <row r="134">
      <c r="A134" s="16" t="s">
        <v>72</v>
      </c>
      <c r="B134" s="16" t="s">
        <v>23</v>
      </c>
      <c r="C134" s="16" t="s">
        <v>73</v>
      </c>
      <c r="D134" s="16" t="s">
        <v>74</v>
      </c>
      <c r="E134" s="16" t="s">
        <v>75</v>
      </c>
      <c r="F134" s="16" t="s">
        <v>76</v>
      </c>
      <c r="G134" s="16" t="s">
        <v>77</v>
      </c>
      <c r="H134" s="16" t="s">
        <v>4</v>
      </c>
      <c r="I134" s="16" t="s">
        <v>78</v>
      </c>
      <c r="J134" s="16" t="s">
        <v>79</v>
      </c>
    </row>
    <row r="135">
      <c r="A135" s="17" t="s">
        <v>211</v>
      </c>
      <c r="B135" s="17" t="s">
        <v>29</v>
      </c>
      <c r="C135" s="17" t="s">
        <v>212</v>
      </c>
      <c r="D135" s="17">
        <v>0.0</v>
      </c>
      <c r="E135" s="17" t="s">
        <v>105</v>
      </c>
      <c r="F135" s="17" t="s">
        <v>106</v>
      </c>
      <c r="G135" s="17">
        <v>0.0</v>
      </c>
      <c r="H135" s="17">
        <f>IF(D135=0, 100, MAX(0, 100 - (D135 * 10)))</f>
        <v>100</v>
      </c>
      <c r="I135" s="17">
        <v>0.0</v>
      </c>
      <c r="J135" s="17" t="s">
        <v>89</v>
      </c>
    </row>
    <row r="136">
      <c r="A136" s="17" t="s">
        <v>213</v>
      </c>
      <c r="B136" s="17" t="s">
        <v>29</v>
      </c>
      <c r="C136" s="17" t="s">
        <v>214</v>
      </c>
      <c r="D136" s="17" t="s">
        <v>215</v>
      </c>
      <c r="E136" s="17" t="s">
        <v>216</v>
      </c>
      <c r="F136" s="17" t="s">
        <v>217</v>
      </c>
      <c r="G136" s="17">
        <v>1.0</v>
      </c>
      <c r="H136" s="17">
        <f t="shared" ref="H136:H138" si="14">IF(D136="Yes", 100, 0)</f>
        <v>100</v>
      </c>
      <c r="I136" s="17" t="s">
        <v>218</v>
      </c>
      <c r="J136" s="17" t="s">
        <v>89</v>
      </c>
    </row>
    <row r="137">
      <c r="A137" s="17" t="s">
        <v>219</v>
      </c>
      <c r="B137" s="17" t="s">
        <v>29</v>
      </c>
      <c r="C137" s="17" t="s">
        <v>220</v>
      </c>
      <c r="D137" s="17" t="s">
        <v>215</v>
      </c>
      <c r="E137" s="17" t="s">
        <v>216</v>
      </c>
      <c r="F137" s="17" t="s">
        <v>217</v>
      </c>
      <c r="G137" s="17">
        <v>1.0</v>
      </c>
      <c r="H137" s="17">
        <f t="shared" si="14"/>
        <v>100</v>
      </c>
      <c r="I137" s="17" t="s">
        <v>218</v>
      </c>
      <c r="J137" s="17" t="s">
        <v>89</v>
      </c>
    </row>
    <row r="138">
      <c r="A138" s="17" t="s">
        <v>221</v>
      </c>
      <c r="B138" s="17" t="s">
        <v>29</v>
      </c>
      <c r="C138" s="17" t="s">
        <v>222</v>
      </c>
      <c r="D138" s="17" t="s">
        <v>215</v>
      </c>
      <c r="E138" s="17" t="s">
        <v>216</v>
      </c>
      <c r="F138" s="17" t="s">
        <v>217</v>
      </c>
      <c r="G138" s="17">
        <v>1.0</v>
      </c>
      <c r="H138" s="17">
        <f t="shared" si="14"/>
        <v>100</v>
      </c>
      <c r="I138" s="17" t="s">
        <v>218</v>
      </c>
      <c r="J138" s="17" t="s">
        <v>89</v>
      </c>
    </row>
    <row r="141">
      <c r="A141" s="12" t="s">
        <v>223</v>
      </c>
    </row>
    <row r="143">
      <c r="A143" s="14" t="s">
        <v>72</v>
      </c>
      <c r="B143" s="14" t="s">
        <v>23</v>
      </c>
      <c r="C143" s="14" t="s">
        <v>73</v>
      </c>
      <c r="D143" s="14" t="s">
        <v>74</v>
      </c>
      <c r="E143" s="14" t="s">
        <v>75</v>
      </c>
      <c r="F143" s="14" t="s">
        <v>76</v>
      </c>
      <c r="G143" s="14" t="s">
        <v>77</v>
      </c>
      <c r="H143" s="14" t="s">
        <v>4</v>
      </c>
      <c r="I143" s="14" t="s">
        <v>78</v>
      </c>
      <c r="J143" s="14" t="s">
        <v>79</v>
      </c>
    </row>
    <row r="144">
      <c r="A144" s="17" t="s">
        <v>224</v>
      </c>
      <c r="B144" s="17" t="s">
        <v>37</v>
      </c>
      <c r="C144" s="17" t="s">
        <v>225</v>
      </c>
      <c r="D144" s="17">
        <v>1.0</v>
      </c>
      <c r="E144" s="17" t="s">
        <v>105</v>
      </c>
      <c r="F144" s="17" t="s">
        <v>106</v>
      </c>
      <c r="G144" s="17">
        <v>0.0</v>
      </c>
      <c r="H144" s="17">
        <f t="shared" ref="H144:H147" si="15">IF(D144=0, 100, MAX(0, 100 - (D144 * IF(B144="B2F1", 15, IF(B144="B2F3", 10, 12.5)))))</f>
        <v>87.5</v>
      </c>
      <c r="I144" s="17">
        <v>0.0</v>
      </c>
      <c r="J144" s="17" t="s">
        <v>85</v>
      </c>
    </row>
    <row r="145">
      <c r="A145" s="17" t="s">
        <v>226</v>
      </c>
      <c r="B145" s="17" t="s">
        <v>37</v>
      </c>
      <c r="C145" s="17" t="s">
        <v>227</v>
      </c>
      <c r="D145" s="17">
        <v>0.0</v>
      </c>
      <c r="E145" s="17" t="s">
        <v>105</v>
      </c>
      <c r="F145" s="17" t="s">
        <v>106</v>
      </c>
      <c r="G145" s="17">
        <v>0.0</v>
      </c>
      <c r="H145" s="17">
        <f t="shared" si="15"/>
        <v>100</v>
      </c>
      <c r="I145" s="17">
        <v>0.0</v>
      </c>
      <c r="J145" s="17" t="s">
        <v>89</v>
      </c>
    </row>
    <row r="146">
      <c r="A146" s="17" t="s">
        <v>228</v>
      </c>
      <c r="B146" s="17" t="s">
        <v>37</v>
      </c>
      <c r="C146" s="17" t="s">
        <v>229</v>
      </c>
      <c r="D146" s="17">
        <v>2.0</v>
      </c>
      <c r="E146" s="17" t="s">
        <v>105</v>
      </c>
      <c r="F146" s="17" t="s">
        <v>106</v>
      </c>
      <c r="G146" s="17">
        <v>0.0</v>
      </c>
      <c r="H146" s="17">
        <f t="shared" si="15"/>
        <v>75</v>
      </c>
      <c r="I146" s="17">
        <v>0.0</v>
      </c>
      <c r="J146" s="17" t="s">
        <v>85</v>
      </c>
    </row>
    <row r="147">
      <c r="A147" s="17" t="s">
        <v>230</v>
      </c>
      <c r="B147" s="17" t="s">
        <v>37</v>
      </c>
      <c r="C147" s="17" t="s">
        <v>231</v>
      </c>
      <c r="D147" s="17">
        <v>2.0</v>
      </c>
      <c r="E147" s="17" t="s">
        <v>105</v>
      </c>
      <c r="F147" s="17" t="s">
        <v>106</v>
      </c>
      <c r="G147" s="17">
        <v>0.0</v>
      </c>
      <c r="H147" s="17">
        <f t="shared" si="15"/>
        <v>75</v>
      </c>
      <c r="I147" s="17">
        <v>0.0</v>
      </c>
      <c r="J147" s="17" t="s">
        <v>85</v>
      </c>
    </row>
    <row r="150">
      <c r="A150" s="12" t="s">
        <v>232</v>
      </c>
    </row>
    <row r="152">
      <c r="A152" s="16" t="s">
        <v>72</v>
      </c>
      <c r="B152" s="16" t="s">
        <v>23</v>
      </c>
      <c r="C152" s="16" t="s">
        <v>73</v>
      </c>
      <c r="D152" s="16" t="s">
        <v>74</v>
      </c>
      <c r="E152" s="16" t="s">
        <v>75</v>
      </c>
      <c r="F152" s="16" t="s">
        <v>76</v>
      </c>
      <c r="G152" s="16" t="s">
        <v>77</v>
      </c>
      <c r="H152" s="16" t="s">
        <v>4</v>
      </c>
      <c r="I152" s="16" t="s">
        <v>78</v>
      </c>
      <c r="J152" s="16" t="s">
        <v>79</v>
      </c>
    </row>
    <row r="153">
      <c r="A153" s="17" t="s">
        <v>233</v>
      </c>
      <c r="B153" s="17" t="s">
        <v>45</v>
      </c>
      <c r="C153" s="17" t="s">
        <v>46</v>
      </c>
      <c r="D153" s="17">
        <v>2.0</v>
      </c>
      <c r="E153" s="17" t="s">
        <v>105</v>
      </c>
      <c r="F153" s="17" t="s">
        <v>106</v>
      </c>
      <c r="G153" s="17">
        <v>0.0</v>
      </c>
      <c r="H153" s="17">
        <f t="shared" ref="H153:H156" si="16">IF(D153=0, 100, MAX(0, 100 - (D153 * IF(B153="B3F1", 10, IF(B153="B3F2", 5, IF(B153="B3F3", 15, 8.33))))))</f>
        <v>83.34</v>
      </c>
      <c r="I153" s="17">
        <v>0.0</v>
      </c>
      <c r="J153" s="17" t="s">
        <v>85</v>
      </c>
    </row>
    <row r="154">
      <c r="A154" s="17" t="s">
        <v>234</v>
      </c>
      <c r="B154" s="17" t="s">
        <v>45</v>
      </c>
      <c r="C154" s="17" t="s">
        <v>235</v>
      </c>
      <c r="D154" s="17">
        <v>8.0</v>
      </c>
      <c r="E154" s="17" t="s">
        <v>105</v>
      </c>
      <c r="F154" s="17" t="s">
        <v>106</v>
      </c>
      <c r="G154" s="17">
        <v>0.0</v>
      </c>
      <c r="H154" s="17">
        <f t="shared" si="16"/>
        <v>33.36</v>
      </c>
      <c r="I154" s="17">
        <v>0.0</v>
      </c>
      <c r="J154" s="17" t="s">
        <v>85</v>
      </c>
    </row>
    <row r="155">
      <c r="A155" s="17" t="s">
        <v>236</v>
      </c>
      <c r="B155" s="17" t="s">
        <v>45</v>
      </c>
      <c r="C155" s="17" t="s">
        <v>237</v>
      </c>
      <c r="D155" s="17">
        <v>1.0</v>
      </c>
      <c r="E155" s="17" t="s">
        <v>105</v>
      </c>
      <c r="F155" s="17" t="s">
        <v>106</v>
      </c>
      <c r="G155" s="17">
        <v>0.0</v>
      </c>
      <c r="H155" s="17">
        <f t="shared" si="16"/>
        <v>91.67</v>
      </c>
      <c r="I155" s="17">
        <v>0.0</v>
      </c>
      <c r="J155" s="17" t="s">
        <v>85</v>
      </c>
    </row>
    <row r="156">
      <c r="A156" s="17" t="s">
        <v>238</v>
      </c>
      <c r="B156" s="17" t="s">
        <v>45</v>
      </c>
      <c r="C156" s="17" t="s">
        <v>239</v>
      </c>
      <c r="D156" s="17">
        <v>3.0</v>
      </c>
      <c r="E156" s="17" t="s">
        <v>105</v>
      </c>
      <c r="F156" s="17" t="s">
        <v>106</v>
      </c>
      <c r="G156" s="17">
        <v>0.0</v>
      </c>
      <c r="H156" s="17">
        <f t="shared" si="16"/>
        <v>75.01</v>
      </c>
      <c r="I156" s="17">
        <v>0.0</v>
      </c>
      <c r="J156" s="17" t="s">
        <v>85</v>
      </c>
    </row>
    <row r="159">
      <c r="A159" s="12" t="s">
        <v>240</v>
      </c>
    </row>
    <row r="161">
      <c r="A161" s="16" t="s">
        <v>72</v>
      </c>
      <c r="B161" s="16" t="s">
        <v>23</v>
      </c>
      <c r="C161" s="16" t="s">
        <v>73</v>
      </c>
      <c r="D161" s="16" t="s">
        <v>74</v>
      </c>
      <c r="E161" s="16" t="s">
        <v>75</v>
      </c>
      <c r="F161" s="16" t="s">
        <v>76</v>
      </c>
      <c r="G161" s="16" t="s">
        <v>77</v>
      </c>
      <c r="H161" s="16" t="s">
        <v>4</v>
      </c>
      <c r="I161" s="16" t="s">
        <v>78</v>
      </c>
      <c r="J161" s="16" t="s">
        <v>79</v>
      </c>
    </row>
    <row r="162">
      <c r="A162" s="17" t="s">
        <v>241</v>
      </c>
      <c r="B162" s="17" t="s">
        <v>53</v>
      </c>
      <c r="C162" s="17" t="s">
        <v>242</v>
      </c>
      <c r="D162" s="17">
        <v>1.0</v>
      </c>
      <c r="E162" s="17" t="s">
        <v>105</v>
      </c>
      <c r="F162" s="17" t="s">
        <v>106</v>
      </c>
      <c r="G162" s="17">
        <v>0.0</v>
      </c>
      <c r="H162" s="17">
        <f>IF(D162=0, 100, MAX(0, 100 - (D162 * 10)))</f>
        <v>90</v>
      </c>
      <c r="I162" s="17">
        <v>0.0</v>
      </c>
      <c r="J162" s="17" t="s">
        <v>85</v>
      </c>
    </row>
    <row r="163">
      <c r="A163" s="17" t="s">
        <v>243</v>
      </c>
      <c r="B163" s="17" t="s">
        <v>53</v>
      </c>
      <c r="C163" s="17" t="s">
        <v>244</v>
      </c>
      <c r="D163" s="17" t="s">
        <v>215</v>
      </c>
      <c r="E163" s="17" t="s">
        <v>216</v>
      </c>
      <c r="F163" s="17" t="s">
        <v>217</v>
      </c>
      <c r="G163" s="17">
        <v>1.0</v>
      </c>
      <c r="H163" s="17">
        <f t="shared" ref="H163:H164" si="17">IF(D163="Yes", 100, 0)</f>
        <v>100</v>
      </c>
      <c r="I163" s="17" t="s">
        <v>218</v>
      </c>
      <c r="J163" s="17" t="s">
        <v>89</v>
      </c>
    </row>
    <row r="164">
      <c r="A164" s="17" t="s">
        <v>245</v>
      </c>
      <c r="B164" s="17" t="s">
        <v>53</v>
      </c>
      <c r="C164" s="17" t="s">
        <v>246</v>
      </c>
      <c r="D164" s="17" t="s">
        <v>215</v>
      </c>
      <c r="E164" s="17" t="s">
        <v>216</v>
      </c>
      <c r="F164" s="17" t="s">
        <v>217</v>
      </c>
      <c r="G164" s="17">
        <v>1.0</v>
      </c>
      <c r="H164" s="17">
        <f t="shared" si="17"/>
        <v>100</v>
      </c>
      <c r="I164" s="17" t="s">
        <v>218</v>
      </c>
      <c r="J164" s="17" t="s">
        <v>89</v>
      </c>
    </row>
    <row r="165">
      <c r="A165" s="17" t="s">
        <v>247</v>
      </c>
      <c r="B165" s="17" t="s">
        <v>53</v>
      </c>
      <c r="C165" s="17" t="s">
        <v>248</v>
      </c>
      <c r="D165" s="17">
        <v>42.0</v>
      </c>
      <c r="E165" s="17" t="s">
        <v>105</v>
      </c>
      <c r="F165" s="17" t="s">
        <v>170</v>
      </c>
      <c r="G165" s="17" t="s">
        <v>171</v>
      </c>
      <c r="H165" s="17">
        <f>IF(F165="Reference", 100, "")</f>
        <v>100</v>
      </c>
      <c r="I165" s="17" t="s">
        <v>171</v>
      </c>
      <c r="J165" s="17" t="s">
        <v>89</v>
      </c>
    </row>
    <row r="168">
      <c r="A168" s="12" t="s">
        <v>249</v>
      </c>
    </row>
    <row r="170">
      <c r="A170" s="14" t="s">
        <v>72</v>
      </c>
      <c r="B170" s="14" t="s">
        <v>23</v>
      </c>
      <c r="C170" s="14" t="s">
        <v>73</v>
      </c>
      <c r="D170" s="14" t="s">
        <v>74</v>
      </c>
      <c r="E170" s="14" t="s">
        <v>75</v>
      </c>
      <c r="F170" s="14" t="s">
        <v>76</v>
      </c>
      <c r="G170" s="14" t="s">
        <v>77</v>
      </c>
      <c r="H170" s="14" t="s">
        <v>4</v>
      </c>
      <c r="I170" s="14" t="s">
        <v>78</v>
      </c>
      <c r="J170" s="14" t="s">
        <v>79</v>
      </c>
    </row>
    <row r="171">
      <c r="A171" s="17" t="s">
        <v>250</v>
      </c>
      <c r="B171" s="17" t="s">
        <v>61</v>
      </c>
      <c r="C171" s="17" t="s">
        <v>251</v>
      </c>
      <c r="D171" s="17">
        <v>1.0</v>
      </c>
      <c r="E171" s="17" t="s">
        <v>105</v>
      </c>
      <c r="F171" s="17" t="s">
        <v>106</v>
      </c>
      <c r="G171" s="17">
        <v>0.0</v>
      </c>
      <c r="H171" s="17">
        <f t="shared" ref="H171:H172" si="18">IF(D171=0, 100, MAX(0, 100 - (D171 * IF(B171="B5F1", 25, 6.67))))</f>
        <v>93.33</v>
      </c>
      <c r="I171" s="17">
        <v>0.0</v>
      </c>
      <c r="J171" s="17" t="s">
        <v>85</v>
      </c>
    </row>
    <row r="172">
      <c r="A172" s="17" t="s">
        <v>252</v>
      </c>
      <c r="B172" s="17" t="s">
        <v>61</v>
      </c>
      <c r="C172" s="17" t="s">
        <v>253</v>
      </c>
      <c r="D172" s="17">
        <v>3.0</v>
      </c>
      <c r="E172" s="17" t="s">
        <v>105</v>
      </c>
      <c r="F172" s="17" t="s">
        <v>106</v>
      </c>
      <c r="G172" s="17">
        <v>0.0</v>
      </c>
      <c r="H172" s="17">
        <f t="shared" si="18"/>
        <v>79.99</v>
      </c>
      <c r="I172" s="17">
        <v>0.0</v>
      </c>
      <c r="J172" s="17" t="s">
        <v>85</v>
      </c>
    </row>
    <row r="173">
      <c r="A173" s="17" t="s">
        <v>254</v>
      </c>
      <c r="B173" s="17" t="s">
        <v>61</v>
      </c>
      <c r="C173" s="17" t="s">
        <v>255</v>
      </c>
      <c r="D173" s="17">
        <v>14.0</v>
      </c>
      <c r="E173" s="17" t="s">
        <v>105</v>
      </c>
      <c r="F173" s="17" t="s">
        <v>170</v>
      </c>
      <c r="G173" s="17" t="s">
        <v>171</v>
      </c>
      <c r="H173" s="17">
        <f>IF(F173="Reference", 100, "")</f>
        <v>100</v>
      </c>
      <c r="I173" s="17" t="s">
        <v>171</v>
      </c>
      <c r="J173" s="17" t="s">
        <v>89</v>
      </c>
    </row>
    <row r="174">
      <c r="A174" s="17" t="s">
        <v>256</v>
      </c>
      <c r="B174" s="17" t="s">
        <v>61</v>
      </c>
      <c r="C174" s="17" t="s">
        <v>257</v>
      </c>
      <c r="D174" s="17">
        <v>420.0</v>
      </c>
      <c r="E174" s="17" t="s">
        <v>258</v>
      </c>
      <c r="F174" s="17" t="s">
        <v>83</v>
      </c>
      <c r="G174" s="17">
        <v>100.0</v>
      </c>
      <c r="H174" s="17">
        <f>IF(D174&lt;=G174, 100, MAX(0, 100 - ((D174 - G174) * 0.0468)))</f>
        <v>85.024</v>
      </c>
      <c r="I174" s="17" t="s">
        <v>259</v>
      </c>
      <c r="J174" s="17" t="s">
        <v>85</v>
      </c>
    </row>
    <row r="177">
      <c r="A177" s="12" t="s">
        <v>260</v>
      </c>
    </row>
    <row r="179">
      <c r="A179" s="14" t="s">
        <v>72</v>
      </c>
      <c r="B179" s="14" t="s">
        <v>23</v>
      </c>
      <c r="C179" s="14" t="s">
        <v>73</v>
      </c>
      <c r="D179" s="14" t="s">
        <v>74</v>
      </c>
      <c r="E179" s="14" t="s">
        <v>75</v>
      </c>
      <c r="F179" s="14" t="s">
        <v>76</v>
      </c>
      <c r="G179" s="14" t="s">
        <v>77</v>
      </c>
      <c r="H179" s="14" t="s">
        <v>4</v>
      </c>
      <c r="I179" s="14" t="s">
        <v>78</v>
      </c>
      <c r="J179" s="14" t="s">
        <v>79</v>
      </c>
    </row>
    <row r="180">
      <c r="A180" s="17" t="s">
        <v>261</v>
      </c>
      <c r="B180" s="17" t="s">
        <v>66</v>
      </c>
      <c r="C180" s="17" t="s">
        <v>262</v>
      </c>
      <c r="D180" s="17">
        <v>240.0</v>
      </c>
      <c r="E180" s="17" t="s">
        <v>258</v>
      </c>
      <c r="F180" s="17" t="s">
        <v>83</v>
      </c>
      <c r="G180" s="17">
        <v>100.0</v>
      </c>
      <c r="H180" s="17">
        <f>IF(D180&lt;=G180, 100, MAX(0, 100 - ((D180 - G180) * 0.107)))</f>
        <v>85.02</v>
      </c>
      <c r="I180" s="17" t="s">
        <v>259</v>
      </c>
      <c r="J180" s="17" t="s">
        <v>85</v>
      </c>
    </row>
    <row r="181">
      <c r="A181" s="17" t="s">
        <v>263</v>
      </c>
      <c r="B181" s="17" t="s">
        <v>66</v>
      </c>
      <c r="C181" s="17" t="s">
        <v>264</v>
      </c>
      <c r="D181" s="17">
        <v>85.0</v>
      </c>
      <c r="E181" s="17" t="s">
        <v>265</v>
      </c>
      <c r="F181" s="17" t="s">
        <v>154</v>
      </c>
      <c r="G181" s="17">
        <v>95.0</v>
      </c>
      <c r="H181" s="17">
        <f t="shared" ref="H181:H182" si="19">IF(VALUE(SUBSTITUTE(D181,"%",""))&gt;=G181, 100, MAX(0, 100 - ((G181 - VALUE(SUBSTITUTE(D181,"%",""))) * IF(B181="B6F2", 1.2, 1))))</f>
        <v>90</v>
      </c>
      <c r="I181" s="17" t="s">
        <v>266</v>
      </c>
      <c r="J181" s="17" t="s">
        <v>85</v>
      </c>
    </row>
    <row r="182">
      <c r="A182" s="17" t="s">
        <v>267</v>
      </c>
      <c r="B182" s="17" t="s">
        <v>66</v>
      </c>
      <c r="C182" s="17" t="s">
        <v>268</v>
      </c>
      <c r="D182" s="17">
        <v>92.0</v>
      </c>
      <c r="E182" s="17" t="s">
        <v>265</v>
      </c>
      <c r="F182" s="17" t="s">
        <v>154</v>
      </c>
      <c r="G182" s="17">
        <v>95.0</v>
      </c>
      <c r="H182" s="17">
        <f t="shared" si="19"/>
        <v>97</v>
      </c>
      <c r="I182" s="17" t="s">
        <v>266</v>
      </c>
      <c r="J182" s="17" t="s">
        <v>85</v>
      </c>
    </row>
    <row r="183">
      <c r="A183" s="17" t="s">
        <v>269</v>
      </c>
      <c r="B183" s="17" t="s">
        <v>66</v>
      </c>
      <c r="C183" s="17" t="s">
        <v>270</v>
      </c>
      <c r="D183" s="17">
        <v>115.0</v>
      </c>
      <c r="E183" s="17" t="s">
        <v>105</v>
      </c>
      <c r="F183" s="17" t="s">
        <v>170</v>
      </c>
      <c r="G183" s="17" t="s">
        <v>171</v>
      </c>
      <c r="H183" s="17">
        <f>IF(F183="Reference", 100, "")</f>
        <v>100</v>
      </c>
      <c r="I183" s="17" t="s">
        <v>171</v>
      </c>
      <c r="J183" s="17" t="s">
        <v>89</v>
      </c>
    </row>
    <row r="186">
      <c r="A186" s="12" t="s">
        <v>271</v>
      </c>
    </row>
    <row r="188">
      <c r="A188" s="14" t="s">
        <v>72</v>
      </c>
      <c r="B188" s="14" t="s">
        <v>23</v>
      </c>
      <c r="C188" s="14" t="s">
        <v>73</v>
      </c>
      <c r="D188" s="14" t="s">
        <v>74</v>
      </c>
      <c r="E188" s="14" t="s">
        <v>75</v>
      </c>
      <c r="F188" s="14" t="s">
        <v>76</v>
      </c>
      <c r="G188" s="14" t="s">
        <v>77</v>
      </c>
      <c r="H188" s="14" t="s">
        <v>4</v>
      </c>
      <c r="I188" s="14" t="s">
        <v>78</v>
      </c>
      <c r="J188" s="14" t="s">
        <v>79</v>
      </c>
    </row>
    <row r="189">
      <c r="A189" s="17" t="s">
        <v>272</v>
      </c>
      <c r="B189" s="17" t="s">
        <v>31</v>
      </c>
      <c r="C189" s="17" t="s">
        <v>273</v>
      </c>
      <c r="D189" s="17" t="s">
        <v>215</v>
      </c>
      <c r="E189" s="17" t="s">
        <v>216</v>
      </c>
      <c r="F189" s="17" t="s">
        <v>217</v>
      </c>
      <c r="G189" s="17">
        <v>1.0</v>
      </c>
      <c r="H189" s="17">
        <f>IF(D189="Yes", 100, 0)</f>
        <v>100</v>
      </c>
      <c r="I189" s="17" t="s">
        <v>218</v>
      </c>
      <c r="J189" s="17" t="s">
        <v>89</v>
      </c>
    </row>
    <row r="190">
      <c r="A190" s="17" t="s">
        <v>274</v>
      </c>
      <c r="B190" s="17" t="s">
        <v>31</v>
      </c>
      <c r="C190" s="17" t="s">
        <v>275</v>
      </c>
      <c r="D190" s="17">
        <v>48.0</v>
      </c>
      <c r="E190" s="17" t="s">
        <v>276</v>
      </c>
      <c r="F190" s="17" t="s">
        <v>277</v>
      </c>
      <c r="G190" s="17" t="s">
        <v>278</v>
      </c>
      <c r="H190" s="17">
        <f>IF(AND(D190&gt;=50, D190&lt;=60), 100, MAX(0, 100 - (ABS(50 - D190) * 7.5)))</f>
        <v>85</v>
      </c>
      <c r="I190" s="17" t="s">
        <v>279</v>
      </c>
      <c r="J190" s="17" t="s">
        <v>85</v>
      </c>
    </row>
    <row r="191">
      <c r="A191" s="17" t="s">
        <v>280</v>
      </c>
      <c r="B191" s="17" t="s">
        <v>31</v>
      </c>
      <c r="C191" s="17" t="s">
        <v>281</v>
      </c>
      <c r="D191" s="17" t="s">
        <v>282</v>
      </c>
      <c r="E191" s="17" t="s">
        <v>283</v>
      </c>
      <c r="F191" s="17" t="s">
        <v>284</v>
      </c>
      <c r="G191" s="17" t="s">
        <v>285</v>
      </c>
      <c r="H191" s="17">
        <f>IF(D191="Optimal", 90, IF(D191="High", 100, 70))</f>
        <v>90</v>
      </c>
      <c r="I191" s="17" t="s">
        <v>286</v>
      </c>
      <c r="J191" s="17" t="s">
        <v>89</v>
      </c>
    </row>
    <row r="192">
      <c r="A192" s="17" t="s">
        <v>287</v>
      </c>
      <c r="B192" s="17" t="s">
        <v>31</v>
      </c>
      <c r="C192" s="17" t="s">
        <v>288</v>
      </c>
      <c r="D192" s="17">
        <v>0.0</v>
      </c>
      <c r="E192" s="17" t="s">
        <v>105</v>
      </c>
      <c r="F192" s="17" t="s">
        <v>106</v>
      </c>
      <c r="G192" s="17">
        <v>0.0</v>
      </c>
      <c r="H192" s="17">
        <f>IF(D192=0, 100, MAX(0, 100 - (D192 * 10)))</f>
        <v>100</v>
      </c>
      <c r="I192" s="17">
        <v>0.0</v>
      </c>
      <c r="J192" s="17" t="s">
        <v>89</v>
      </c>
    </row>
    <row r="195">
      <c r="A195" s="12" t="s">
        <v>289</v>
      </c>
    </row>
    <row r="197">
      <c r="A197" s="14" t="s">
        <v>72</v>
      </c>
      <c r="B197" s="14" t="s">
        <v>23</v>
      </c>
      <c r="C197" s="14" t="s">
        <v>73</v>
      </c>
      <c r="D197" s="14" t="s">
        <v>74</v>
      </c>
      <c r="E197" s="14" t="s">
        <v>75</v>
      </c>
      <c r="F197" s="14" t="s">
        <v>76</v>
      </c>
      <c r="G197" s="14" t="s">
        <v>77</v>
      </c>
      <c r="H197" s="14" t="s">
        <v>4</v>
      </c>
      <c r="I197" s="14" t="s">
        <v>78</v>
      </c>
      <c r="J197" s="14" t="s">
        <v>79</v>
      </c>
    </row>
    <row r="198">
      <c r="A198" s="17" t="s">
        <v>290</v>
      </c>
      <c r="B198" s="17" t="s">
        <v>39</v>
      </c>
      <c r="C198" s="17" t="s">
        <v>291</v>
      </c>
      <c r="D198" s="17" t="s">
        <v>215</v>
      </c>
      <c r="E198" s="17" t="s">
        <v>216</v>
      </c>
      <c r="F198" s="17" t="s">
        <v>217</v>
      </c>
      <c r="G198" s="17">
        <v>1.0</v>
      </c>
      <c r="H198" s="17">
        <f t="shared" ref="H198:H201" si="20">IF(F198="Boolean", IF(D198="Yes", 100, 0), IF(F198="Range", IF(AND(D198&gt;=120, D198&lt;=160), 100, 80), IF(F198="Zero", IF(D198=0, 100, 0), IF(D198="Optimal", 95, 100))))</f>
        <v>100</v>
      </c>
      <c r="I198" s="17" t="s">
        <v>218</v>
      </c>
      <c r="J198" s="17" t="s">
        <v>89</v>
      </c>
    </row>
    <row r="199">
      <c r="A199" s="17" t="s">
        <v>292</v>
      </c>
      <c r="B199" s="17" t="s">
        <v>39</v>
      </c>
      <c r="C199" s="17" t="s">
        <v>293</v>
      </c>
      <c r="D199" s="17">
        <v>142.0</v>
      </c>
      <c r="E199" s="17" t="s">
        <v>276</v>
      </c>
      <c r="F199" s="17" t="s">
        <v>277</v>
      </c>
      <c r="G199" s="17" t="s">
        <v>294</v>
      </c>
      <c r="H199" s="17">
        <f t="shared" si="20"/>
        <v>100</v>
      </c>
      <c r="I199" s="17" t="s">
        <v>295</v>
      </c>
      <c r="J199" s="17" t="s">
        <v>89</v>
      </c>
    </row>
    <row r="200">
      <c r="A200" s="17" t="s">
        <v>296</v>
      </c>
      <c r="B200" s="17" t="s">
        <v>39</v>
      </c>
      <c r="C200" s="17" t="s">
        <v>297</v>
      </c>
      <c r="D200" s="17">
        <v>0.0</v>
      </c>
      <c r="E200" s="17" t="s">
        <v>105</v>
      </c>
      <c r="F200" s="17" t="s">
        <v>106</v>
      </c>
      <c r="G200" s="17">
        <v>0.0</v>
      </c>
      <c r="H200" s="17">
        <f t="shared" si="20"/>
        <v>100</v>
      </c>
      <c r="I200" s="17">
        <v>0.0</v>
      </c>
      <c r="J200" s="17" t="s">
        <v>89</v>
      </c>
    </row>
    <row r="201">
      <c r="A201" s="17" t="s">
        <v>298</v>
      </c>
      <c r="B201" s="17" t="s">
        <v>39</v>
      </c>
      <c r="C201" s="17" t="s">
        <v>299</v>
      </c>
      <c r="D201" s="17" t="s">
        <v>282</v>
      </c>
      <c r="E201" s="17" t="s">
        <v>283</v>
      </c>
      <c r="F201" s="17" t="s">
        <v>284</v>
      </c>
      <c r="G201" s="17" t="s">
        <v>285</v>
      </c>
      <c r="H201" s="17">
        <f t="shared" si="20"/>
        <v>95</v>
      </c>
      <c r="I201" s="17" t="s">
        <v>286</v>
      </c>
      <c r="J201" s="17" t="s">
        <v>89</v>
      </c>
    </row>
    <row r="204">
      <c r="A204" s="12" t="s">
        <v>300</v>
      </c>
    </row>
    <row r="206">
      <c r="A206" s="14" t="s">
        <v>72</v>
      </c>
      <c r="B206" s="14" t="s">
        <v>23</v>
      </c>
      <c r="C206" s="14" t="s">
        <v>73</v>
      </c>
      <c r="D206" s="14" t="s">
        <v>74</v>
      </c>
      <c r="E206" s="14" t="s">
        <v>75</v>
      </c>
      <c r="F206" s="14" t="s">
        <v>76</v>
      </c>
      <c r="G206" s="14" t="s">
        <v>77</v>
      </c>
      <c r="H206" s="14" t="s">
        <v>4</v>
      </c>
      <c r="I206" s="14" t="s">
        <v>78</v>
      </c>
      <c r="J206" s="14" t="s">
        <v>79</v>
      </c>
    </row>
    <row r="207">
      <c r="A207" s="17" t="s">
        <v>301</v>
      </c>
      <c r="B207" s="17" t="s">
        <v>47</v>
      </c>
      <c r="C207" s="17" t="s">
        <v>302</v>
      </c>
      <c r="D207" s="17" t="s">
        <v>215</v>
      </c>
      <c r="E207" s="17" t="s">
        <v>216</v>
      </c>
      <c r="F207" s="17" t="s">
        <v>217</v>
      </c>
      <c r="G207" s="17">
        <v>1.0</v>
      </c>
      <c r="H207" s="17">
        <f t="shared" ref="H207:H211" si="21">IF(F207="Boolean", IF(D207="Yes", 100, 0), IF(F207="Zero", IF(D207=0, 100, MAX(0, 100 - (D207 * 10))), IF(D207="High", 95, 100)))</f>
        <v>100</v>
      </c>
      <c r="I207" s="17" t="s">
        <v>218</v>
      </c>
      <c r="J207" s="17" t="s">
        <v>89</v>
      </c>
    </row>
    <row r="208">
      <c r="A208" s="17" t="s">
        <v>303</v>
      </c>
      <c r="B208" s="17" t="s">
        <v>47</v>
      </c>
      <c r="C208" s="17" t="s">
        <v>304</v>
      </c>
      <c r="D208" s="17">
        <v>0.0</v>
      </c>
      <c r="E208" s="17" t="s">
        <v>105</v>
      </c>
      <c r="F208" s="17" t="s">
        <v>106</v>
      </c>
      <c r="G208" s="17">
        <v>0.0</v>
      </c>
      <c r="H208" s="17">
        <f t="shared" si="21"/>
        <v>100</v>
      </c>
      <c r="I208" s="17">
        <v>0.0</v>
      </c>
      <c r="J208" s="17" t="s">
        <v>89</v>
      </c>
    </row>
    <row r="209">
      <c r="A209" s="17" t="s">
        <v>305</v>
      </c>
      <c r="B209" s="17" t="s">
        <v>47</v>
      </c>
      <c r="C209" s="17" t="s">
        <v>306</v>
      </c>
      <c r="D209" s="17">
        <v>2.0</v>
      </c>
      <c r="E209" s="17" t="s">
        <v>105</v>
      </c>
      <c r="F209" s="17" t="s">
        <v>106</v>
      </c>
      <c r="G209" s="17">
        <v>0.0</v>
      </c>
      <c r="H209" s="17">
        <f t="shared" si="21"/>
        <v>80</v>
      </c>
      <c r="I209" s="17">
        <v>0.0</v>
      </c>
      <c r="J209" s="17" t="s">
        <v>85</v>
      </c>
    </row>
    <row r="210">
      <c r="A210" s="17" t="s">
        <v>307</v>
      </c>
      <c r="B210" s="17" t="s">
        <v>47</v>
      </c>
      <c r="C210" s="17" t="s">
        <v>308</v>
      </c>
      <c r="D210" s="17">
        <v>1.0</v>
      </c>
      <c r="E210" s="17" t="s">
        <v>105</v>
      </c>
      <c r="F210" s="17" t="s">
        <v>106</v>
      </c>
      <c r="G210" s="17">
        <v>0.0</v>
      </c>
      <c r="H210" s="17">
        <f t="shared" si="21"/>
        <v>90</v>
      </c>
      <c r="I210" s="17">
        <v>0.0</v>
      </c>
      <c r="J210" s="17" t="s">
        <v>85</v>
      </c>
    </row>
    <row r="211">
      <c r="A211" s="17" t="s">
        <v>309</v>
      </c>
      <c r="B211" s="17" t="s">
        <v>47</v>
      </c>
      <c r="C211" s="17" t="s">
        <v>310</v>
      </c>
      <c r="D211" s="17" t="s">
        <v>285</v>
      </c>
      <c r="E211" s="17" t="s">
        <v>283</v>
      </c>
      <c r="F211" s="17" t="s">
        <v>284</v>
      </c>
      <c r="G211" s="17" t="s">
        <v>285</v>
      </c>
      <c r="H211" s="17">
        <f t="shared" si="21"/>
        <v>95</v>
      </c>
      <c r="I211" s="17" t="s">
        <v>286</v>
      </c>
      <c r="J211" s="17" t="s">
        <v>89</v>
      </c>
    </row>
    <row r="214">
      <c r="A214" s="12" t="s">
        <v>311</v>
      </c>
    </row>
    <row r="216">
      <c r="A216" s="14" t="s">
        <v>72</v>
      </c>
      <c r="B216" s="14" t="s">
        <v>23</v>
      </c>
      <c r="C216" s="14" t="s">
        <v>73</v>
      </c>
      <c r="D216" s="14" t="s">
        <v>74</v>
      </c>
      <c r="E216" s="14" t="s">
        <v>75</v>
      </c>
      <c r="F216" s="14" t="s">
        <v>76</v>
      </c>
      <c r="G216" s="14" t="s">
        <v>77</v>
      </c>
      <c r="H216" s="14" t="s">
        <v>4</v>
      </c>
      <c r="I216" s="14" t="s">
        <v>78</v>
      </c>
      <c r="J216" s="14" t="s">
        <v>79</v>
      </c>
    </row>
    <row r="217">
      <c r="A217" s="17" t="s">
        <v>312</v>
      </c>
      <c r="B217" s="17" t="s">
        <v>55</v>
      </c>
      <c r="C217" s="17" t="s">
        <v>313</v>
      </c>
      <c r="D217" s="17" t="s">
        <v>215</v>
      </c>
      <c r="E217" s="17" t="s">
        <v>216</v>
      </c>
      <c r="F217" s="17" t="s">
        <v>217</v>
      </c>
      <c r="G217" s="17">
        <v>1.0</v>
      </c>
      <c r="H217" s="17">
        <f t="shared" ref="H217:H220" si="22">IF(F217="Boolean", IF(D217="Yes", 100, 0), IF(D217=0, 100, 0))</f>
        <v>100</v>
      </c>
      <c r="I217" s="17" t="s">
        <v>218</v>
      </c>
      <c r="J217" s="17" t="s">
        <v>89</v>
      </c>
    </row>
    <row r="218">
      <c r="A218" s="17" t="s">
        <v>314</v>
      </c>
      <c r="B218" s="17" t="s">
        <v>55</v>
      </c>
      <c r="C218" s="17" t="s">
        <v>227</v>
      </c>
      <c r="D218" s="17">
        <v>0.0</v>
      </c>
      <c r="E218" s="17" t="s">
        <v>105</v>
      </c>
      <c r="F218" s="17" t="s">
        <v>106</v>
      </c>
      <c r="G218" s="17">
        <v>0.0</v>
      </c>
      <c r="H218" s="17">
        <f t="shared" si="22"/>
        <v>100</v>
      </c>
      <c r="I218" s="17">
        <v>0.0</v>
      </c>
      <c r="J218" s="17" t="s">
        <v>89</v>
      </c>
    </row>
    <row r="219">
      <c r="A219" s="17" t="s">
        <v>315</v>
      </c>
      <c r="B219" s="17" t="s">
        <v>55</v>
      </c>
      <c r="C219" s="17" t="s">
        <v>316</v>
      </c>
      <c r="D219" s="17" t="s">
        <v>215</v>
      </c>
      <c r="E219" s="17" t="s">
        <v>216</v>
      </c>
      <c r="F219" s="17" t="s">
        <v>217</v>
      </c>
      <c r="G219" s="17">
        <v>1.0</v>
      </c>
      <c r="H219" s="17">
        <f t="shared" si="22"/>
        <v>100</v>
      </c>
      <c r="I219" s="17" t="s">
        <v>218</v>
      </c>
      <c r="J219" s="17" t="s">
        <v>89</v>
      </c>
    </row>
    <row r="220">
      <c r="A220" s="17" t="s">
        <v>317</v>
      </c>
      <c r="B220" s="17" t="s">
        <v>55</v>
      </c>
      <c r="C220" s="17" t="s">
        <v>318</v>
      </c>
      <c r="D220" s="17">
        <v>0.0</v>
      </c>
      <c r="E220" s="17" t="s">
        <v>105</v>
      </c>
      <c r="F220" s="17" t="s">
        <v>106</v>
      </c>
      <c r="G220" s="17">
        <v>0.0</v>
      </c>
      <c r="H220" s="17">
        <f t="shared" si="22"/>
        <v>100</v>
      </c>
      <c r="I220" s="17">
        <v>0.0</v>
      </c>
      <c r="J220" s="17" t="s">
        <v>89</v>
      </c>
    </row>
    <row r="223">
      <c r="A223" s="12" t="s">
        <v>319</v>
      </c>
    </row>
    <row r="225">
      <c r="A225" s="14" t="s">
        <v>72</v>
      </c>
      <c r="B225" s="14" t="s">
        <v>23</v>
      </c>
      <c r="C225" s="14" t="s">
        <v>73</v>
      </c>
      <c r="D225" s="14" t="s">
        <v>74</v>
      </c>
      <c r="E225" s="14" t="s">
        <v>75</v>
      </c>
      <c r="F225" s="14" t="s">
        <v>76</v>
      </c>
      <c r="G225" s="14" t="s">
        <v>77</v>
      </c>
      <c r="H225" s="14" t="s">
        <v>4</v>
      </c>
      <c r="I225" s="14" t="s">
        <v>78</v>
      </c>
      <c r="J225" s="14" t="s">
        <v>79</v>
      </c>
    </row>
    <row r="226">
      <c r="A226" s="17" t="s">
        <v>320</v>
      </c>
      <c r="B226" s="17" t="s">
        <v>63</v>
      </c>
      <c r="C226" s="17" t="s">
        <v>321</v>
      </c>
      <c r="D226" s="17" t="s">
        <v>215</v>
      </c>
      <c r="E226" s="17" t="s">
        <v>216</v>
      </c>
      <c r="F226" s="17" t="s">
        <v>217</v>
      </c>
      <c r="G226" s="17">
        <v>1.0</v>
      </c>
      <c r="H226" s="17">
        <f t="shared" ref="H226:H231" si="23">IF(F226="Boolean", IF(D226="Yes", 100, 0), IF(F226="Zero", IF(D226=0, 100, MAX(0, 100 - (D226 * IF(A226="S5F3", 2, 2.5)))), 100))</f>
        <v>100</v>
      </c>
      <c r="I226" s="17" t="s">
        <v>218</v>
      </c>
      <c r="J226" s="17" t="s">
        <v>89</v>
      </c>
    </row>
    <row r="227">
      <c r="A227" s="17" t="s">
        <v>322</v>
      </c>
      <c r="B227" s="17" t="s">
        <v>63</v>
      </c>
      <c r="C227" s="17" t="s">
        <v>323</v>
      </c>
      <c r="D227" s="17">
        <v>0.0</v>
      </c>
      <c r="E227" s="17" t="s">
        <v>105</v>
      </c>
      <c r="F227" s="17" t="s">
        <v>106</v>
      </c>
      <c r="G227" s="17">
        <v>0.0</v>
      </c>
      <c r="H227" s="17">
        <f t="shared" si="23"/>
        <v>100</v>
      </c>
      <c r="I227" s="17">
        <v>0.0</v>
      </c>
      <c r="J227" s="17" t="s">
        <v>89</v>
      </c>
    </row>
    <row r="228">
      <c r="A228" s="17" t="s">
        <v>324</v>
      </c>
      <c r="B228" s="17" t="s">
        <v>63</v>
      </c>
      <c r="C228" s="17" t="s">
        <v>325</v>
      </c>
      <c r="D228" s="17">
        <v>4.0</v>
      </c>
      <c r="E228" s="17" t="s">
        <v>105</v>
      </c>
      <c r="F228" s="17" t="s">
        <v>106</v>
      </c>
      <c r="G228" s="17">
        <v>0.0</v>
      </c>
      <c r="H228" s="17">
        <f t="shared" si="23"/>
        <v>92</v>
      </c>
      <c r="I228" s="17">
        <v>0.0</v>
      </c>
      <c r="J228" s="17" t="s">
        <v>85</v>
      </c>
    </row>
    <row r="229">
      <c r="A229" s="17" t="s">
        <v>326</v>
      </c>
      <c r="B229" s="17" t="s">
        <v>63</v>
      </c>
      <c r="C229" s="17" t="s">
        <v>327</v>
      </c>
      <c r="D229" s="17">
        <v>2.0</v>
      </c>
      <c r="E229" s="17" t="s">
        <v>105</v>
      </c>
      <c r="F229" s="17" t="s">
        <v>106</v>
      </c>
      <c r="G229" s="17">
        <v>0.0</v>
      </c>
      <c r="H229" s="17">
        <f t="shared" si="23"/>
        <v>95</v>
      </c>
      <c r="I229" s="17">
        <v>0.0</v>
      </c>
      <c r="J229" s="17" t="s">
        <v>85</v>
      </c>
    </row>
    <row r="230">
      <c r="A230" s="17" t="s">
        <v>328</v>
      </c>
      <c r="B230" s="17" t="s">
        <v>63</v>
      </c>
      <c r="C230" s="17" t="s">
        <v>329</v>
      </c>
      <c r="D230" s="17">
        <v>12.4</v>
      </c>
      <c r="E230" s="17" t="s">
        <v>330</v>
      </c>
      <c r="F230" s="17" t="s">
        <v>83</v>
      </c>
      <c r="G230" s="17">
        <v>50.0</v>
      </c>
      <c r="H230" s="17">
        <f t="shared" si="23"/>
        <v>100</v>
      </c>
      <c r="I230" s="17" t="s">
        <v>331</v>
      </c>
      <c r="J230" s="17" t="s">
        <v>89</v>
      </c>
    </row>
    <row r="231">
      <c r="A231" s="17" t="s">
        <v>332</v>
      </c>
      <c r="B231" s="17" t="s">
        <v>63</v>
      </c>
      <c r="C231" s="17" t="s">
        <v>333</v>
      </c>
      <c r="D231" s="17">
        <v>42500.0</v>
      </c>
      <c r="E231" s="17" t="s">
        <v>105</v>
      </c>
      <c r="F231" s="17" t="s">
        <v>334</v>
      </c>
      <c r="G231" s="17">
        <v>50000.0</v>
      </c>
      <c r="H231" s="17">
        <f t="shared" si="23"/>
        <v>100</v>
      </c>
      <c r="I231" s="17" t="s">
        <v>335</v>
      </c>
      <c r="J231" s="17" t="s">
        <v>89</v>
      </c>
    </row>
    <row r="234">
      <c r="A234" s="12" t="s">
        <v>336</v>
      </c>
    </row>
    <row r="236">
      <c r="A236" s="14" t="s">
        <v>72</v>
      </c>
      <c r="B236" s="14" t="s">
        <v>23</v>
      </c>
      <c r="C236" s="14" t="s">
        <v>73</v>
      </c>
      <c r="D236" s="14" t="s">
        <v>74</v>
      </c>
      <c r="E236" s="14" t="s">
        <v>75</v>
      </c>
      <c r="F236" s="14" t="s">
        <v>76</v>
      </c>
      <c r="G236" s="14" t="s">
        <v>77</v>
      </c>
      <c r="H236" s="14" t="s">
        <v>4</v>
      </c>
      <c r="I236" s="14" t="s">
        <v>78</v>
      </c>
      <c r="J236" s="14" t="s">
        <v>79</v>
      </c>
    </row>
    <row r="237">
      <c r="A237" s="17" t="s">
        <v>337</v>
      </c>
      <c r="B237" s="17" t="s">
        <v>68</v>
      </c>
      <c r="C237" s="17" t="s">
        <v>338</v>
      </c>
      <c r="D237" s="17" t="s">
        <v>215</v>
      </c>
      <c r="E237" s="17" t="s">
        <v>216</v>
      </c>
      <c r="F237" s="17" t="s">
        <v>217</v>
      </c>
      <c r="G237" s="17">
        <v>1.0</v>
      </c>
      <c r="H237" s="17">
        <f>IF(D237="Yes", 100, 0)</f>
        <v>100</v>
      </c>
      <c r="I237" s="17" t="s">
        <v>218</v>
      </c>
      <c r="J237" s="17" t="s">
        <v>89</v>
      </c>
    </row>
    <row r="238">
      <c r="A238" s="17" t="s">
        <v>339</v>
      </c>
      <c r="B238" s="17" t="s">
        <v>68</v>
      </c>
      <c r="C238" s="17" t="s">
        <v>340</v>
      </c>
      <c r="D238" s="17">
        <v>98.0</v>
      </c>
      <c r="E238" s="17" t="s">
        <v>265</v>
      </c>
      <c r="F238" s="17" t="s">
        <v>154</v>
      </c>
      <c r="G238" s="17">
        <v>100.0</v>
      </c>
      <c r="H238" s="17">
        <f>IF(VALUE(SUBSTITUTE(D238,"%",""))&gt;=G238, 100, MAX(0, 100 - ((G238 - VALUE(SUBSTITUTE(D238,"%",""))) * 2.5)))</f>
        <v>95</v>
      </c>
      <c r="I238" s="18">
        <v>1.0</v>
      </c>
      <c r="J238" s="17" t="s">
        <v>85</v>
      </c>
    </row>
    <row r="239">
      <c r="A239" s="17" t="s">
        <v>341</v>
      </c>
      <c r="B239" s="17" t="s">
        <v>68</v>
      </c>
      <c r="C239" s="17" t="s">
        <v>342</v>
      </c>
      <c r="D239" s="17">
        <v>6.0</v>
      </c>
      <c r="E239" s="17" t="s">
        <v>105</v>
      </c>
      <c r="F239" s="17" t="s">
        <v>106</v>
      </c>
      <c r="G239" s="17">
        <v>0.0</v>
      </c>
      <c r="H239" s="17">
        <f t="shared" ref="H239:H240" si="24">IF(D239=0, 100, MAX(0, 100 - (D239 * IF(A239="S6F3", 3.66, 3))))</f>
        <v>78.04</v>
      </c>
      <c r="I239" s="17">
        <v>0.0</v>
      </c>
      <c r="J239" s="17" t="s">
        <v>85</v>
      </c>
    </row>
    <row r="240">
      <c r="A240" s="17" t="s">
        <v>343</v>
      </c>
      <c r="B240" s="17" t="s">
        <v>68</v>
      </c>
      <c r="C240" s="17" t="s">
        <v>344</v>
      </c>
      <c r="D240" s="17">
        <v>4.0</v>
      </c>
      <c r="E240" s="17" t="s">
        <v>105</v>
      </c>
      <c r="F240" s="17" t="s">
        <v>106</v>
      </c>
      <c r="G240" s="17">
        <v>0.0</v>
      </c>
      <c r="H240" s="17">
        <f t="shared" si="24"/>
        <v>88</v>
      </c>
      <c r="I240" s="17">
        <v>0.0</v>
      </c>
      <c r="J240" s="17" t="s">
        <v>85</v>
      </c>
    </row>
    <row r="241">
      <c r="A241" s="17" t="s">
        <v>345</v>
      </c>
      <c r="B241" s="17" t="s">
        <v>68</v>
      </c>
      <c r="C241" s="17" t="s">
        <v>346</v>
      </c>
      <c r="D241" s="17" t="s">
        <v>215</v>
      </c>
      <c r="E241" s="17" t="s">
        <v>216</v>
      </c>
      <c r="F241" s="17" t="s">
        <v>217</v>
      </c>
      <c r="G241" s="17">
        <v>1.0</v>
      </c>
      <c r="H241" s="17">
        <f>IF(D241="Yes", 100, 0)</f>
        <v>100</v>
      </c>
      <c r="I241" s="17" t="s">
        <v>218</v>
      </c>
      <c r="J241" s="17" t="s">
        <v>89</v>
      </c>
    </row>
    <row r="242">
      <c r="A242" s="17" t="s">
        <v>347</v>
      </c>
      <c r="B242" s="17" t="s">
        <v>68</v>
      </c>
      <c r="C242" s="17" t="s">
        <v>348</v>
      </c>
      <c r="D242" s="17" t="s">
        <v>349</v>
      </c>
      <c r="E242" s="17" t="s">
        <v>283</v>
      </c>
      <c r="F242" s="17" t="s">
        <v>284</v>
      </c>
      <c r="G242" s="17" t="s">
        <v>349</v>
      </c>
      <c r="H242" s="17">
        <f>IF(D242="None", 100, 0)</f>
        <v>100</v>
      </c>
      <c r="I242" s="17" t="s">
        <v>350</v>
      </c>
      <c r="J242" s="17" t="s">
        <v>89</v>
      </c>
    </row>
    <row r="245">
      <c r="A245" s="22" t="s">
        <v>351</v>
      </c>
    </row>
    <row r="248">
      <c r="A248" s="12" t="s">
        <v>352</v>
      </c>
    </row>
    <row r="250">
      <c r="A250" s="14" t="s">
        <v>353</v>
      </c>
      <c r="B250" s="14" t="s">
        <v>23</v>
      </c>
      <c r="C250" s="14" t="s">
        <v>354</v>
      </c>
      <c r="D250" s="14" t="s">
        <v>355</v>
      </c>
      <c r="E250" s="14" t="s">
        <v>356</v>
      </c>
      <c r="F250" s="14" t="s">
        <v>357</v>
      </c>
    </row>
    <row r="251">
      <c r="A251" s="17" t="s">
        <v>358</v>
      </c>
      <c r="B251" s="17" t="s">
        <v>66</v>
      </c>
      <c r="C251" s="17" t="s">
        <v>359</v>
      </c>
      <c r="D251" s="17" t="s">
        <v>360</v>
      </c>
      <c r="E251" s="25">
        <f t="shared" ref="E251:E252" si="25">+15</f>
        <v>15</v>
      </c>
      <c r="F251" s="17" t="s">
        <v>285</v>
      </c>
    </row>
    <row r="252">
      <c r="A252" s="17" t="s">
        <v>361</v>
      </c>
      <c r="B252" s="17" t="s">
        <v>61</v>
      </c>
      <c r="C252" s="17" t="s">
        <v>362</v>
      </c>
      <c r="D252" s="17" t="s">
        <v>363</v>
      </c>
      <c r="E252" s="25">
        <f t="shared" si="25"/>
        <v>15</v>
      </c>
      <c r="F252" s="17" t="s">
        <v>285</v>
      </c>
    </row>
    <row r="253">
      <c r="A253" s="17" t="s">
        <v>364</v>
      </c>
      <c r="B253" s="17" t="s">
        <v>365</v>
      </c>
      <c r="C253" s="17" t="s">
        <v>366</v>
      </c>
      <c r="D253" s="17" t="s">
        <v>367</v>
      </c>
      <c r="E253" s="25">
        <f>+20</f>
        <v>20</v>
      </c>
      <c r="F253" s="17" t="s">
        <v>368</v>
      </c>
    </row>
    <row r="254">
      <c r="A254" s="17" t="s">
        <v>369</v>
      </c>
      <c r="B254" s="17" t="s">
        <v>53</v>
      </c>
      <c r="C254" s="17" t="s">
        <v>370</v>
      </c>
      <c r="D254" s="17" t="s">
        <v>371</v>
      </c>
      <c r="E254" s="25">
        <f>+10</f>
        <v>10</v>
      </c>
      <c r="F254" s="17" t="s">
        <v>372</v>
      </c>
    </row>
    <row r="257">
      <c r="A257" s="12" t="s">
        <v>373</v>
      </c>
    </row>
    <row r="259">
      <c r="A259" s="14" t="s">
        <v>353</v>
      </c>
      <c r="B259" s="14" t="s">
        <v>23</v>
      </c>
      <c r="C259" s="14" t="s">
        <v>354</v>
      </c>
      <c r="D259" s="14" t="s">
        <v>355</v>
      </c>
      <c r="E259" s="14" t="s">
        <v>356</v>
      </c>
      <c r="F259" s="14" t="s">
        <v>357</v>
      </c>
    </row>
    <row r="260">
      <c r="A260" s="17" t="s">
        <v>374</v>
      </c>
      <c r="B260" s="17" t="s">
        <v>59</v>
      </c>
      <c r="C260" s="17" t="s">
        <v>375</v>
      </c>
      <c r="D260" s="17" t="s">
        <v>376</v>
      </c>
      <c r="E260" s="25">
        <f>+32</f>
        <v>32</v>
      </c>
      <c r="F260" s="17" t="s">
        <v>285</v>
      </c>
    </row>
    <row r="261">
      <c r="A261" s="17" t="s">
        <v>377</v>
      </c>
      <c r="B261" s="17" t="s">
        <v>43</v>
      </c>
      <c r="C261" s="17" t="s">
        <v>378</v>
      </c>
      <c r="D261" s="17" t="s">
        <v>379</v>
      </c>
      <c r="E261" s="25">
        <f>+30</f>
        <v>30</v>
      </c>
      <c r="F261" s="17" t="s">
        <v>285</v>
      </c>
    </row>
    <row r="262">
      <c r="A262" s="17" t="s">
        <v>380</v>
      </c>
      <c r="B262" s="17" t="s">
        <v>65</v>
      </c>
      <c r="C262" s="17" t="s">
        <v>381</v>
      </c>
      <c r="D262" s="17" t="s">
        <v>382</v>
      </c>
      <c r="E262" s="25">
        <f>+31</f>
        <v>31</v>
      </c>
      <c r="F262" s="17" t="s">
        <v>368</v>
      </c>
    </row>
    <row r="263">
      <c r="A263" s="17" t="s">
        <v>383</v>
      </c>
      <c r="B263" s="17" t="s">
        <v>51</v>
      </c>
      <c r="C263" s="17" t="s">
        <v>384</v>
      </c>
      <c r="D263" s="17" t="s">
        <v>385</v>
      </c>
      <c r="E263" s="25">
        <f>+25</f>
        <v>25</v>
      </c>
      <c r="F263" s="17" t="s">
        <v>368</v>
      </c>
    </row>
    <row r="266">
      <c r="A266" s="12" t="s">
        <v>386</v>
      </c>
    </row>
    <row r="268">
      <c r="A268" s="14" t="s">
        <v>353</v>
      </c>
      <c r="B268" s="14" t="s">
        <v>23</v>
      </c>
      <c r="C268" s="14" t="s">
        <v>354</v>
      </c>
      <c r="D268" s="14" t="s">
        <v>355</v>
      </c>
      <c r="E268" s="14" t="s">
        <v>356</v>
      </c>
      <c r="F268" s="14" t="s">
        <v>357</v>
      </c>
    </row>
    <row r="269">
      <c r="A269" s="17" t="s">
        <v>387</v>
      </c>
      <c r="B269" s="17" t="s">
        <v>37</v>
      </c>
      <c r="C269" s="17" t="s">
        <v>388</v>
      </c>
      <c r="D269" s="17" t="s">
        <v>389</v>
      </c>
      <c r="E269" s="25">
        <f>+20</f>
        <v>20</v>
      </c>
      <c r="F269" s="17" t="s">
        <v>285</v>
      </c>
    </row>
    <row r="270">
      <c r="A270" s="17" t="s">
        <v>390</v>
      </c>
      <c r="B270" s="17" t="s">
        <v>391</v>
      </c>
      <c r="C270" s="17" t="s">
        <v>392</v>
      </c>
      <c r="D270" s="17" t="s">
        <v>393</v>
      </c>
      <c r="E270" s="25">
        <f>+25</f>
        <v>25</v>
      </c>
      <c r="F270" s="17" t="s">
        <v>285</v>
      </c>
    </row>
    <row r="271">
      <c r="A271" s="17" t="s">
        <v>394</v>
      </c>
      <c r="B271" s="17" t="s">
        <v>53</v>
      </c>
      <c r="C271" s="17" t="s">
        <v>395</v>
      </c>
      <c r="D271" s="17" t="s">
        <v>396</v>
      </c>
      <c r="E271" s="25">
        <f>+10</f>
        <v>10</v>
      </c>
      <c r="F271" s="17" t="s">
        <v>368</v>
      </c>
    </row>
    <row r="272">
      <c r="A272" s="17" t="s">
        <v>397</v>
      </c>
      <c r="B272" s="17" t="s">
        <v>29</v>
      </c>
      <c r="C272" s="17" t="s">
        <v>398</v>
      </c>
      <c r="D272" s="17" t="s">
        <v>399</v>
      </c>
      <c r="E272" s="17" t="s">
        <v>400</v>
      </c>
      <c r="F272" s="17" t="s">
        <v>372</v>
      </c>
    </row>
    <row r="275">
      <c r="A275" s="12" t="s">
        <v>401</v>
      </c>
    </row>
    <row r="277">
      <c r="A277" s="14" t="s">
        <v>353</v>
      </c>
      <c r="B277" s="14" t="s">
        <v>23</v>
      </c>
      <c r="C277" s="14" t="s">
        <v>354</v>
      </c>
      <c r="D277" s="14" t="s">
        <v>355</v>
      </c>
      <c r="E277" s="14" t="s">
        <v>356</v>
      </c>
      <c r="F277" s="14" t="s">
        <v>357</v>
      </c>
    </row>
    <row r="278">
      <c r="A278" s="17" t="s">
        <v>402</v>
      </c>
      <c r="B278" s="17" t="s">
        <v>68</v>
      </c>
      <c r="C278" s="17" t="s">
        <v>403</v>
      </c>
      <c r="D278" s="17" t="s">
        <v>404</v>
      </c>
      <c r="E278" s="25">
        <f>+22</f>
        <v>22</v>
      </c>
      <c r="F278" s="17" t="s">
        <v>285</v>
      </c>
    </row>
    <row r="279">
      <c r="A279" s="17" t="s">
        <v>405</v>
      </c>
      <c r="B279" s="17" t="s">
        <v>47</v>
      </c>
      <c r="C279" s="17" t="s">
        <v>406</v>
      </c>
      <c r="D279" s="17" t="s">
        <v>407</v>
      </c>
      <c r="E279" s="25">
        <f>+20</f>
        <v>20</v>
      </c>
      <c r="F279" s="17" t="s">
        <v>285</v>
      </c>
    </row>
    <row r="280">
      <c r="A280" s="17" t="s">
        <v>408</v>
      </c>
      <c r="B280" s="17" t="s">
        <v>31</v>
      </c>
      <c r="C280" s="17" t="s">
        <v>409</v>
      </c>
      <c r="D280" s="17" t="s">
        <v>410</v>
      </c>
      <c r="E280" s="25">
        <f>+15</f>
        <v>15</v>
      </c>
      <c r="F280" s="17" t="s">
        <v>368</v>
      </c>
    </row>
    <row r="281">
      <c r="A281" s="17" t="s">
        <v>411</v>
      </c>
      <c r="B281" s="17" t="s">
        <v>63</v>
      </c>
      <c r="C281" s="17" t="s">
        <v>412</v>
      </c>
      <c r="D281" s="17" t="s">
        <v>413</v>
      </c>
      <c r="E281" s="25">
        <f>+8</f>
        <v>8</v>
      </c>
      <c r="F281" s="17" t="s">
        <v>368</v>
      </c>
    </row>
    <row r="282">
      <c r="A282" s="17" t="s">
        <v>414</v>
      </c>
      <c r="B282" s="17" t="s">
        <v>68</v>
      </c>
      <c r="C282" s="17" t="s">
        <v>415</v>
      </c>
      <c r="D282" s="17" t="s">
        <v>416</v>
      </c>
      <c r="E282" s="25">
        <f>+5</f>
        <v>5</v>
      </c>
      <c r="F282" s="17" t="s">
        <v>372</v>
      </c>
    </row>
  </sheetData>
  <drawing r:id="rId1"/>
</worksheet>
</file>